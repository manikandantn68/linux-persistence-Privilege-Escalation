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ypes" sheetId="2" state="visible" r:id="rId4"/>
    <sheet name="Allocators" sheetId="3" state="visible" r:id="rId5"/>
    <sheet name="Design Comparison" sheetId="4" state="visible" r:id="rId6"/>
    <sheet name="Security Matrix" sheetId="5" state="visible" r:id="rId7"/>
    <sheet name="Exposure" sheetId="6" state="visible" r:id="rId8"/>
    <sheet name="Attacks &amp; TTPs" sheetId="7" state="visible" r:id="rId9"/>
    <sheet name="MITRE Map" sheetId="8" state="visible" r:id="rId10"/>
    <sheet name="Cases" sheetId="9" state="visible" r:id="rId11"/>
    <sheet name="History" sheetId="10" state="visible" r:id="rId12"/>
    <sheet name="Sources" sheetId="11" state="visible" r:id="rId13"/>
  </sheets>
  <definedNames>
    <definedName function="false" hidden="true" localSheetId="2" name="_xlnm._FilterDatabase" vbProcedure="false">Allocators!$A$4:$K$18</definedName>
    <definedName function="false" hidden="true" localSheetId="6" name="_xlnm._FilterDatabase" vbProcedure="false">'Attacks &amp; TTPs'!$A$4:$I$20</definedName>
    <definedName function="false" hidden="true" localSheetId="3" name="_xlnm._FilterDatabase" vbProcedure="false">'Design Comparison'!$A$4:$F$18</definedName>
    <definedName function="false" hidden="true" localSheetId="9" name="_xlnm._FilterDatabase" vbProcedure="false">History!$A$4:$E$39</definedName>
    <definedName function="false" hidden="true" localSheetId="7" name="_xlnm._FilterDatabase" vbProcedure="false">'MITRE Map'!$A$4:$E$20</definedName>
    <definedName function="false" hidden="true" localSheetId="1" name="_xlnm._FilterDatabase" vbProcedure="false">Types!$A$4:$F$13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<sst xmlns="http://schemas.openxmlformats.org/spreadsheetml/2006/main" count="1245" uniqueCount="886">
  <si>
    <t xml:space="preserve">Memory Allocators: Types, Comparison, Security and Attacks</t>
  </si>
  <si>
    <t xml:space="preserve">User-space heap allocators. Prepared 17 Oct 2026. Facts checked against the sources on the 'Sources' sheet.</t>
  </si>
  <si>
    <t xml:space="preserve">Key findings</t>
  </si>
  <si>
    <t xml:space="preserve">Most exposed by design</t>
  </si>
  <si>
    <t xml:space="preserve">dlmalloc-derived glibc malloc (ptmalloc2): inline metadata, no default randomization, quarantine or canaries. Largest public exploit literature (how2heap covers glibc 2.23-2.41).</t>
  </si>
  <si>
    <t xml:space="preserve">Strongest documented hardening</t>
  </si>
  <si>
    <t xml:space="preserve">hardened_malloc and OpenBSD malloc score highest on the matrix. Apple xzone malloc and PartitionAlloc add type isolation against UAF type confusion.</t>
  </si>
  <si>
    <t xml:space="preserve">glibc mitigation timeline</t>
  </si>
  <si>
    <t xml:space="preserve">tcache 2.26 (2017) -&gt; key check + top-chunk check 2.29 (2019) -&gt; safe-linking 2.32 (2020) -&gt; hooks removed 2.34 (2021). Attackers adapted each time.</t>
  </si>
  <si>
    <t xml:space="preserve">MITRE mapping</t>
  </si>
  <si>
    <t xml:space="preserve">ATT&amp;CK has no allocator-specific technique. Heap bugs map to CWE-122/416/415/787 and are used under T1203, T1068, T1190, T1210.</t>
  </si>
  <si>
    <t xml:space="preserve">Caveat</t>
  </si>
  <si>
    <t xml:space="preserve">'Vulnerable' here means how easily heap bugs become exploits, not CVE count. The score is my rubric (see Security Matrix), not an industry standard.</t>
  </si>
  <si>
    <t xml:space="preserve">Sheets</t>
  </si>
  <si>
    <t xml:space="preserve">Types</t>
  </si>
  <si>
    <t xml:space="preserve">Allocator families: how they work, pros, cons</t>
  </si>
  <si>
    <t xml:space="preserve">Allocators</t>
  </si>
  <si>
    <t xml:space="preserve">Profile of 14 allocators: OS, author, first release, maintainer, status</t>
  </si>
  <si>
    <t xml:space="preserve">Design Comparison</t>
  </si>
  <si>
    <t xml:space="preserve">Core structure, thread model, optimisation target</t>
  </si>
  <si>
    <t xml:space="preserve">Security Matrix</t>
  </si>
  <si>
    <t xml:space="preserve">10 hardening features per allocator with score and tier (formulas)</t>
  </si>
  <si>
    <t xml:space="preserve">Exposure</t>
  </si>
  <si>
    <t xml:space="preserve">Allocators ordered most to least exposed, with reasons</t>
  </si>
  <si>
    <t xml:space="preserve">Attacks &amp; TTPs</t>
  </si>
  <si>
    <t xml:space="preserve">Heap attack techniques with CWE / CAPEC / ATT&amp;CK IDs and mitigation versions</t>
  </si>
  <si>
    <t xml:space="preserve">MITRE Map</t>
  </si>
  <si>
    <t xml:space="preserve">CWE, CAPEC and ATT&amp;CK reference IDs</t>
  </si>
  <si>
    <t xml:space="preserve">Cases</t>
  </si>
  <si>
    <t xml:space="preserve">Real-world cases and research</t>
  </si>
  <si>
    <t xml:space="preserve">History</t>
  </si>
  <si>
    <t xml:space="preserve">Timeline of releases and mitigations</t>
  </si>
  <si>
    <t xml:space="preserve">Sources</t>
  </si>
  <si>
    <t xml:space="preserve">S-numbered references used across sheets</t>
  </si>
  <si>
    <t xml:space="preserve">Colour legend</t>
  </si>
  <si>
    <t xml:space="preserve">Y  (green)</t>
  </si>
  <si>
    <t xml:space="preserve">Default-on, confirmed in sources</t>
  </si>
  <si>
    <t xml:space="preserve">P  (amber)</t>
  </si>
  <si>
    <t xml:space="preserve">Optional, debug-only, hardware-dependent or partial</t>
  </si>
  <si>
    <t xml:space="preserve">N  (red)</t>
  </si>
  <si>
    <t xml:space="preserve">Absent by design</t>
  </si>
  <si>
    <t xml:space="preserve">?  (grey)</t>
  </si>
  <si>
    <t xml:space="preserve">Not confirmed in the sources used; scored 0 and excluded from confidence</t>
  </si>
  <si>
    <t xml:space="preserve">Group: General-purpose</t>
  </si>
  <si>
    <t xml:space="preserve">Blue tint on allocator name</t>
  </si>
  <si>
    <t xml:space="preserve">Group: Hardened / type-aware</t>
  </si>
  <si>
    <t xml:space="preserve">Green tint on allocator name</t>
  </si>
  <si>
    <t xml:space="preserve">Group: Windows</t>
  </si>
  <si>
    <t xml:space="preserve">Purple tint on allocator name</t>
  </si>
  <si>
    <t xml:space="preserve">Notes</t>
  </si>
  <si>
    <t xml:space="preserve">Where a cell comes from allocator design knowledge rather than a fetched document, the Security Matrix 'Basis' column says so.</t>
  </si>
  <si>
    <t xml:space="preserve">Project claims (for example hardened_malloc and musl mallocng) are reported as claims; no independent exploit testing was done here.</t>
  </si>
  <si>
    <t xml:space="preserve">Attack rows name techniques and mitigation versions only. No exploit steps or code are included.</t>
  </si>
  <si>
    <t xml:space="preserve">Dates without a day are year-level in the sources used. The 'jemalloc first release' year differs between sources.</t>
  </si>
  <si>
    <t xml:space="preserve">Allocator types</t>
  </si>
  <si>
    <t xml:space="preserve">Families of user-space allocators, how they work and where security trade-offs sit</t>
  </si>
  <si>
    <t xml:space="preserve">Type</t>
  </si>
  <si>
    <t xml:space="preserve">How it works</t>
  </si>
  <si>
    <t xml:space="preserve">Strengths</t>
  </si>
  <si>
    <t xml:space="preserve">Weaknesses</t>
  </si>
  <si>
    <t xml:space="preserve">Security note</t>
  </si>
  <si>
    <t xml:space="preserve">Examples (this workbook)</t>
  </si>
  <si>
    <t xml:space="preserve">Boundary-tag / binned free list (sequential fit)</t>
  </si>
  <si>
    <t xml:space="preserve">Chunks carry size headers in place; freed chunks sit in bins and are coalesced with free neighbours. dlmalloc is described by its author as in most ways best-fit.</t>
  </si>
  <si>
    <t xml:space="preserve">General purpose; space-conserving and portable (author's description).</t>
  </si>
  <si>
    <t xml:space="preserve">Metadata sits next to user data; coalescing work; arenas needed for thread scaling.</t>
  </si>
  <si>
    <t xml:space="preserve">Classic target for metadata corruption.</t>
  </si>
  <si>
    <t xml:space="preserve">dlmalloc, glibc malloc</t>
  </si>
  <si>
    <t xml:space="preserve">Segregated size-class / slab</t>
  </si>
  <si>
    <t xml:space="preserve">Memory is split into slabs of equal-size slots tracked per size class (bitmap or free list).</t>
  </si>
  <si>
    <t xml:space="preserve">Predictable layout; low external fragmentation; allows out-of-line metadata and per-slab guard pages.</t>
  </si>
  <si>
    <t xml:space="preserve">Internal fragmentation from rounding up to size classes.</t>
  </si>
  <si>
    <t xml:space="preserve">Foundation for hardened designs.</t>
  </si>
  <si>
    <t xml:space="preserve">jemalloc, hardened_malloc, Scudo Primary, PartitionAlloc, xzone malloc</t>
  </si>
  <si>
    <t xml:space="preserve">Thread caching</t>
  </si>
  <si>
    <t xml:space="preserve">Per-thread caches serve most requests without locks and refill from shared structures.</t>
  </si>
  <si>
    <t xml:space="preserve">Fast path without contention.</t>
  </si>
  <si>
    <t xml:space="preserve">Cached memory is held back; hardened_malloc's README argues caches bypass quarantine and weaken protection.</t>
  </si>
  <si>
    <t xml:space="preserve">Caches can bypass security checks.</t>
  </si>
  <si>
    <t xml:space="preserve">TCMalloc, jemalloc, glibc tcache, PartitionAlloc thread cache</t>
  </si>
  <si>
    <t xml:space="preserve">Per-CPU caching</t>
  </si>
  <si>
    <t xml:space="preserve">Caches are per logical CPU, using restartable sequences (rseq) on Linux so no locks or atomics are needed.</t>
  </si>
  <si>
    <t xml:space="preserve">Avoids many tiny caches when thread counts are high.</t>
  </si>
  <si>
    <t xml:space="preserve">Linux rseq dependency; falls back to per-thread mode.</t>
  </si>
  <si>
    <t xml:space="preserve">-</t>
  </si>
  <si>
    <t xml:space="preserve">TCMalloc</t>
  </si>
  <si>
    <t xml:space="preserve">Free-list sharding</t>
  </si>
  <si>
    <t xml:space="preserve">Free lists are split per page; local frees need no synchronization, remote frees go to a separate list.</t>
  </si>
  <si>
    <t xml:space="preserve">Speed and locality.</t>
  </si>
  <si>
    <t xml:space="preserve">Fragmentation can be higher than centralized designs (Apple's xzone notes).</t>
  </si>
  <si>
    <t xml:space="preserve">Secure build adds guard pages, randomization, encrypted free lists.</t>
  </si>
  <si>
    <t xml:space="preserve">mimalloc</t>
  </si>
  <si>
    <t xml:space="preserve">Message-passing</t>
  </si>
  <si>
    <t xml:space="preserve">Remotely freed objects are returned to the owning allocator in batches via lock-free queues.</t>
  </si>
  <si>
    <t xml:space="preserve">Strong for producer/consumer workloads.</t>
  </si>
  <si>
    <t xml:space="preserve">Specialized for cross-thread free patterns.</t>
  </si>
  <si>
    <t xml:space="preserve">Hardened build exists (not reviewed here).</t>
  </si>
  <si>
    <t xml:space="preserve">snmalloc</t>
  </si>
  <si>
    <t xml:space="preserve">Partition / type-aware isolation</t>
  </si>
  <si>
    <t xml:space="preserve">Allocations are separated by partition or type bucket into different address regions that are not reused across buckets.</t>
  </si>
  <si>
    <t xml:space="preserve">Disrupts use-after-free type confusion; metadata kept apart.</t>
  </si>
  <si>
    <t xml:space="preserve">Uses large amounts of virtual address space (PartitionAlloc) and raises fragmentation (xzone).</t>
  </si>
  <si>
    <t xml:space="preserve">Strong against UAF reuse; pairs with MTE.</t>
  </si>
  <si>
    <t xml:space="preserve">PartitionAlloc, xzone malloc</t>
  </si>
  <si>
    <t xml:space="preserve">Page / mmap-based out-of-band</t>
  </si>
  <si>
    <t xml:space="preserve">Every region comes from the kernel with metadata held in separate structures and unmapped gaps between regions.</t>
  </si>
  <si>
    <t xml:space="preserve">Strong isolation of metadata and layout.</t>
  </si>
  <si>
    <t xml:space="preserve">System-call and address-space overhead.</t>
  </si>
  <si>
    <t xml:space="preserve">Randomization and guard pages are natural fits.</t>
  </si>
  <si>
    <t xml:space="preserve">OpenBSD malloc</t>
  </si>
  <si>
    <t xml:space="preserve">Bump / arena (region)</t>
  </si>
  <si>
    <t xml:space="preserve">Allocate by advancing a pointer; free everything at once. Lea cites 'always return the next sequential address; free is a no-op' as the fastest possible extreme.</t>
  </si>
  <si>
    <t xml:space="preserve">Extremely fast; no per-object metadata.</t>
  </si>
  <si>
    <t xml:space="preserve">No individual free; memory grows until the region is released.</t>
  </si>
  <si>
    <t xml:space="preserve">Not covered in the matrix (not a general malloc).</t>
  </si>
  <si>
    <t xml:space="preserve">General technique; not one of the allocators compared here</t>
  </si>
  <si>
    <t xml:space="preserve">Allocator profiles</t>
  </si>
  <si>
    <t xml:space="preserve">Author, first release, platform, maintainer and status as noted in the sources (S-codes on the Sources sheet)</t>
  </si>
  <si>
    <t xml:space="preserve">Group</t>
  </si>
  <si>
    <t xml:space="preserve">Allocator</t>
  </si>
  <si>
    <t xml:space="preserve">Design family</t>
  </si>
  <si>
    <t xml:space="preserve">Default / main OS and platform</t>
  </si>
  <si>
    <t xml:space="preserve">Created by</t>
  </si>
  <si>
    <t xml:space="preserve">First release / origin</t>
  </si>
  <si>
    <t xml:space="preserve">Maintained by</t>
  </si>
  <si>
    <t xml:space="preserve">Version / status noted</t>
  </si>
  <si>
    <t xml:space="preserve">Used by (examples)</t>
  </si>
  <si>
    <t xml:space="preserve">Key traits</t>
  </si>
  <si>
    <t xml:space="preserve">Evidence</t>
  </si>
  <si>
    <t xml:space="preserve">General-purpose</t>
  </si>
  <si>
    <t xml:space="preserve">dlmalloc (Doug Lea's malloc)</t>
  </si>
  <si>
    <t xml:space="preserve">Boundary-tag, binned best-fit free-list</t>
  </si>
  <si>
    <t xml:space="preserve">Cross-platform reference code. Default malloc in some Linux versions (historic); common in embedded systems and PC environments.</t>
  </si>
  <si>
    <t xml:space="preserve">Doug Lea</t>
  </si>
  <si>
    <t xml:space="preserve">1987 (first version; public domain)</t>
  </si>
  <si>
    <t xml:space="preserve">Doug Lea, with volunteer contributors</t>
  </si>
  <si>
    <t xml:space="preserve">2.8.x line (2.8.4 seen in source headers); no 'current' release checked</t>
  </si>
  <si>
    <t xml:space="preserve">Embedded firmware (dlmalloc copies appear in U-Boot trees); ancestor of ptmalloc2/glibc malloc</t>
  </si>
  <si>
    <t xml:space="preserve">Described by its author as in most ways a best-fit allocator. Thread-safe only if USE_LOCKS is defined. Build-time security options ('static-safe; optionally more or less').</t>
  </si>
  <si>
    <t xml:space="preserve">S1, S2</t>
  </si>
  <si>
    <t xml:space="preserve">glibc malloc (ptmalloc2)</t>
  </si>
  <si>
    <t xml:space="preserve">dlmalloc derivative: arenas + bins + per-thread tcache</t>
  </si>
  <si>
    <t xml:space="preserve">Linux (glibc-based distros such as Debian, Ubuntu, Fedora, RHEL families)</t>
  </si>
  <si>
    <t xml:space="preserve">Wolfram Gloger (multi-thread/arena adaptation of Doug Lea's dlmalloc)</t>
  </si>
  <si>
    <t xml:space="preserve">ptmalloc2 circa 2001 (ptmalloc2-20011215, based on dlmalloc 2.7.0)</t>
  </si>
  <si>
    <t xml:space="preserve">GNU C Library (glibc) project</t>
  </si>
  <si>
    <t xml:space="preserve">tcache 2.26 (2017); tcache key check + top-chunk check 2.29 (2019); safe-linking 2.32 (2020); malloc hooks removed 2.34 (2021)</t>
  </si>
  <si>
    <t xml:space="preserve">Default allocator of mainstream glibc-based Linux distros</t>
  </si>
  <si>
    <t xml:space="preserve">Inline chunk metadata; multiple arenas for threads; bins (tcache, fast, small, large, unsorted).</t>
  </si>
  <si>
    <t xml:space="preserve">S2, S3, S6, S8</t>
  </si>
  <si>
    <t xml:space="preserve">jemalloc</t>
  </si>
  <si>
    <t xml:space="preserve">Size-class slab allocator with arenas + thread caches</t>
  </si>
  <si>
    <t xml:space="preserve">FreeBSD (default since 7.0); also used on Linux and other platforms</t>
  </si>
  <si>
    <t xml:space="preserve">Jason Evans</t>
  </si>
  <si>
    <t xml:space="preserve">2005-2006 (sources differ); FreeBSD 7.0 default</t>
  </si>
  <si>
    <t xml:space="preserve">Meta (original repo archived 2 Jun 2025, unarchived Mar 2026); Jason Evans stepped away</t>
  </si>
  <si>
    <t xml:space="preserve">5.3.1 (13 Apr 2026); previous 5.3.0 (6 May 2022)</t>
  </si>
  <si>
    <t xml:space="preserve">Firefox, Rust compiler, ClickHouse, TiKV (Apr 2026 survey); Android 'Svelte' configs (LLVM docs)</t>
  </si>
  <si>
    <t xml:space="preserve">Thread caches implemented as arrays; hugepage allocator (HPA) work; debug-build double-free detection added in 5.3.1.</t>
  </si>
  <si>
    <t xml:space="preserve">S9, S10, S11, S12, S13</t>
  </si>
  <si>
    <t xml:space="preserve">Front-end per-CPU/per-thread caches + central free lists + page heap</t>
  </si>
  <si>
    <t xml:space="preserve">Linux (per-CPU mode needs restartable sequences / rseq); built with Bazel</t>
  </si>
  <si>
    <t xml:space="preserve">Sanjay Ghemawat, Paul Menage (Google)</t>
  </si>
  <si>
    <t xml:space="preserve">2005 (Google Performance Tools); Google's current implementation open-sourced 2020</t>
  </si>
  <si>
    <t xml:space="preserve">Google (github.com/google/tcmalloc). gperftools is a separate project</t>
  </si>
  <si>
    <t xml:space="preserve">Rolling repository; no release pinned</t>
  </si>
  <si>
    <t xml:space="preserve">Used by nearly all of Google's production C++ programs (repo statement)</t>
  </si>
  <si>
    <t xml:space="preserve">Per-CPU caches via rseq; hugepage-aware back end; singly-linked free lists of objects per size class.</t>
  </si>
  <si>
    <t xml:space="preserve">S14, S15, S16</t>
  </si>
  <si>
    <t xml:space="preserve">Free-list sharding; segment/page based</t>
  </si>
  <si>
    <t xml:space="preserve">Windows, macOS, Linux and other systems (widely ported)</t>
  </si>
  <si>
    <t xml:space="preserve">Daan Leijen, Ben Zorn, Leonardo de Moura (Microsoft Research)</t>
  </si>
  <si>
    <t xml:space="preserve">Initial release July 2019 (tech report June 2019)</t>
  </si>
  <si>
    <t xml:space="preserve">Microsoft</t>
  </si>
  <si>
    <t xml:space="preserve">v3.5.2 (12 Sep 2026) recommended; v2.5.2 stable/legacy; v1.15.2 legacy</t>
  </si>
  <si>
    <t xml:space="preserve">Koka and Lean runtimes (original target); no-GIL Python fork; design ancestor of Apple's xzone malloc</t>
  </si>
  <si>
    <t xml:space="preserve">Local + remote free lists per page; optional secure mode (guard pages, randomized allocation, encrypted free lists); v3 keeps page metadata separate from objects by default (from v3.3.1).</t>
  </si>
  <si>
    <t xml:space="preserve">S17, S18, S19, S28</t>
  </si>
  <si>
    <t xml:space="preserve">Message-passing allocator (lock-free remote frees)</t>
  </si>
  <si>
    <t xml:space="preserve">Cross-platform: header-only C++, LD_PRELOAD on ELF platforms (Linux/BSD), Rust crate</t>
  </si>
  <si>
    <t xml:space="preserve">Microsoft Research team: Paul Lietar, Theodore Butler, Sylvan Clebsch, Sophia Drossopoulou, Juliana Franco, Matthew Parkinson, Alex Shamis, Christoph Wintersteiger, David Chisnall</t>
  </si>
  <si>
    <t xml:space="preserve">ISMM 2019 paper (23 Jun 2019)</t>
  </si>
  <si>
    <t xml:space="preserve">Microsoft (github.com/microsoft/snmalloc)</t>
  </si>
  <si>
    <t xml:space="preserve">Not checked</t>
  </si>
  <si>
    <t xml:space="preserve">Not verified</t>
  </si>
  <si>
    <t xml:space="preserve">Returns remotely freed objects to the originating allocator in batches without locks; 64 bits of metadata per 64 KiB slab (paper); a hardened build exists (details not reviewed).</t>
  </si>
  <si>
    <t xml:space="preserve">S35, S36</t>
  </si>
  <si>
    <t xml:space="preserve">Hardened / type-aware</t>
  </si>
  <si>
    <t xml:space="preserve">Scudo</t>
  </si>
  <si>
    <t xml:space="preserve">Size-class primary + mmap secondary; checksummed headers</t>
  </si>
  <si>
    <t xml:space="preserve">Android (default since Android 11), Fuchsia</t>
  </si>
  <si>
    <t xml:space="preserve">LLVM project (derived from LLVM Sanitizers' CombinedAllocator)</t>
  </si>
  <si>
    <t xml:space="preserve">Default in Android 11 (2020)</t>
  </si>
  <si>
    <t xml:space="preserve">LLVM project; Android engineers present ongoing work (LLVM DevMtg 2024)</t>
  </si>
  <si>
    <t xml:space="preserve">Ships in LLVM compiler-rt (scudo_standalone); docs updated 16 Oct 2026</t>
  </si>
  <si>
    <t xml:space="preserve">Android 11+, Fuchsia. Android 'Svelte' configs still use jemalloc</t>
  </si>
  <si>
    <t xml:space="preserve">8-byte CRC-checksummed chunk header; optional quarantine (off by default); randomized Primary; guard pages around Secondary allocations; MTE tuning API.</t>
  </si>
  <si>
    <t xml:space="preserve">S20, S21</t>
  </si>
  <si>
    <t xml:space="preserve">hardened_malloc</t>
  </si>
  <si>
    <t xml:space="preserve">Security-first slab allocator (OpenBSD-malloc lineage)</t>
  </si>
  <si>
    <t xml:space="preserve">GrapheneOS / Android (Bionic); Linux via glibc or musl; 64-bit only</t>
  </si>
  <si>
    <t xml:space="preserve">Daniel Micay (GrapheneOS)</t>
  </si>
  <si>
    <t xml:space="preserve">2018 (copyright 2018 onward)</t>
  </si>
  <si>
    <t xml:space="preserve">GrapheneOS</t>
  </si>
  <si>
    <t xml:space="preserve">MIT licence; mirror synced to upstream 'version 16-2026040800' (Apr 2026)</t>
  </si>
  <si>
    <t xml:space="preserve">GrapheneOS; GrapheneOS says other security-focused OSes such as Whonix are adopting it</t>
  </si>
  <si>
    <t xml:space="preserve">Fully out-of-line metadata; guard slabs; canaries; zero-on-free; write-after-free check; random + FIFO quarantines; MTE on ARMv8.5+; no thread caches by design.</t>
  </si>
  <si>
    <t xml:space="preserve">S22, S48</t>
  </si>
  <si>
    <t xml:space="preserve">OpenBSD malloc (otto-malloc)</t>
  </si>
  <si>
    <t xml:space="preserve">mmap-based page/chunk allocator, out-of-band metadata</t>
  </si>
  <si>
    <t xml:space="preserve">OpenBSD</t>
  </si>
  <si>
    <t xml:space="preserve">Otto Moerbeek (current design); earlier rewrite by Thierry Deval (OpenBSD 3.8)</t>
  </si>
  <si>
    <t xml:space="preserve">Rewrite written 28 Jul 2008; shipped in OpenBSD 4.4 (Nov 2008)</t>
  </si>
  <si>
    <t xml:space="preserve">OpenBSD project (Otto Moerbeek)</t>
  </si>
  <si>
    <t xml:space="preserve">Delayed free mandatory since Sep 2017; random canaries Oct 2020; write-after-free check of delayed-free list in 7.4 (2023)</t>
  </si>
  <si>
    <t xml:space="preserve">OpenBSD base system and ports</t>
  </si>
  <si>
    <t xml:space="preserve">Metadata out-of-band, no freelist or object headers; always mmap; randomization; junking; delayed free; options via malloc.conf (S = security set).</t>
  </si>
  <si>
    <t xml:space="preserve">S23, S24, S25, S46</t>
  </si>
  <si>
    <t xml:space="preserve">musl mallocng</t>
  </si>
  <si>
    <t xml:space="preserve">Group/slot allocator with out-of-band group metadata</t>
  </si>
  <si>
    <t xml:space="preserve">Linux systems using musl libc (e.g. Alpine Linux)</t>
  </si>
  <si>
    <t xml:space="preserve">Rich Felker</t>
  </si>
  <si>
    <t xml:space="preserve">musl 1.2.1, 4 Aug 2020 (replaced musl's older dlmalloc-like allocator)</t>
  </si>
  <si>
    <t xml:space="preserve">musl libc project (Rich Felker)</t>
  </si>
  <si>
    <t xml:space="preserve">Release note claims: finer-grained return of memory, avoids catastrophic fragmentation, detects overflow/double-free/UAF</t>
  </si>
  <si>
    <t xml:space="preserve">musl-based systems</t>
  </si>
  <si>
    <t xml:space="preserve">Project claims callers' memory errors cannot corrupt allocator state (release announcement; independent review not done here).</t>
  </si>
  <si>
    <t xml:space="preserve">S26</t>
  </si>
  <si>
    <t xml:space="preserve">PartitionAlloc</t>
  </si>
  <si>
    <t xml:space="preserve">Partitions, buckets, slot spans, thread cache</t>
  </si>
  <si>
    <t xml:space="preserve">Chromium / Chrome (Windows, Android and others); standalone builds exist</t>
  </si>
  <si>
    <t xml:space="preserve">Chromium / Blink team (Google)</t>
  </si>
  <si>
    <t xml:space="preserve">Originally Blink-only; PartitionAlloc-Everywhere launched in M89 (Windows 64-bit, Android)</t>
  </si>
  <si>
    <t xml:space="preserve">Chromium project (Google)</t>
  </si>
  <si>
    <t xml:space="preserve">Rolling (Chromium tree)</t>
  </si>
  <si>
    <t xml:space="preserve">Chrome and Chromium-based browsers</t>
  </si>
  <si>
    <t xml:space="preserve">Different partitions occupy different address regions; metadata out-of-line between guard pages; freelist pointers byte-reversed with a shadow copy; per-partition lock + thread cache.</t>
  </si>
  <si>
    <t xml:space="preserve">S27</t>
  </si>
  <si>
    <t xml:space="preserve">xzone malloc (Apple libmalloc)</t>
  </si>
  <si>
    <t xml:space="preserve">Type-aware segmented slab allocator</t>
  </si>
  <si>
    <t xml:space="preserve">macOS, iOS and other Apple OS platforms</t>
  </si>
  <si>
    <t xml:space="preserve">Apple</t>
  </si>
  <si>
    <t xml:space="preserve">iOS 17 (2023) user-level; kernel counterpart kalloc_type in iOS 15</t>
  </si>
  <si>
    <t xml:space="preserve">Part of Memory Integrity Enforcement (iPhone 17 / iPhone Air, 2025)</t>
  </si>
  <si>
    <t xml:space="preserve">Apple OS processes; enabled for apps via Xcode Enhanced Security</t>
  </si>
  <si>
    <t xml:space="preserve">Bucketed type isolation; zero-on-free below 1 KB; externalized metadata; probabilistic guard pages; allocation fronts; MTE support. Partly derived from mimalloc.</t>
  </si>
  <si>
    <t xml:space="preserve">S28, S29</t>
  </si>
  <si>
    <t xml:space="preserve">Windows</t>
  </si>
  <si>
    <t xml:space="preserve">Windows NT Heap + Low Fragmentation Heap</t>
  </si>
  <si>
    <t xml:space="preserve">Heap manager with bucketed LFH front end</t>
  </si>
  <si>
    <t xml:space="preserve">Windows (NT family); default for most Win32 processes</t>
  </si>
  <si>
    <t xml:space="preserve">LFH introduced 2001 (Windows XP); default front end since Windows Vista</t>
  </si>
  <si>
    <t xml:space="preserve">Hardened in steps: XP SP2/2003 SP1 (safe unlinking, header cookie); Vista (LFH replaces lookaside lists); Windows 8 (LFH randomization)</t>
  </si>
  <si>
    <t xml:space="preserve">Default heap of Win32 applications</t>
  </si>
  <si>
    <t xml:space="preserve">Attackers shifted from metadata corruption to application-data corruption after Vista (MSRC).</t>
  </si>
  <si>
    <t xml:space="preserve">S31, S32, S33, S34</t>
  </si>
  <si>
    <t xml:space="preserve">Windows Segment Heap</t>
  </si>
  <si>
    <t xml:space="preserve">Segment-based back end with VS and LFH front ends</t>
  </si>
  <si>
    <t xml:space="preserve">Windows 10 and later: Microsoft Edge, Windows apps, some system processes; opt-in for Win32 apps</t>
  </si>
  <si>
    <t xml:space="preserve">Microsoft (internals documented by Mark Yason, Black Hat USA 2016)</t>
  </si>
  <si>
    <t xml:space="preserve">Windows 10 (2015)</t>
  </si>
  <si>
    <t xml:space="preserve">Opt-in for Win32 apps (application manifest / heap flags)</t>
  </si>
  <si>
    <t xml:space="preserve">Microsoft Edge (Chromium), Windows apps</t>
  </si>
  <si>
    <t xml:space="preserve">Variable-size (VS) block header encoding; enabled via flags such as HEAP_ENABLE_SEGMENT_HEAP.</t>
  </si>
  <si>
    <t xml:space="preserve">S30, S47</t>
  </si>
  <si>
    <t xml:space="preserve">Design comparison</t>
  </si>
  <si>
    <t xml:space="preserve">Structure, concurrency approach and stated optimisation target (project statements, not benchmarks)</t>
  </si>
  <si>
    <t xml:space="preserve">Core structure</t>
  </si>
  <si>
    <t xml:space="preserve">Thread / concurrency approach</t>
  </si>
  <si>
    <t xml:space="preserve">Optimised for (per project)</t>
  </si>
  <si>
    <t xml:space="preserve">Configuration</t>
  </si>
  <si>
    <t xml:space="preserve">dlmalloc</t>
  </si>
  <si>
    <t xml:space="preserve">Boundary tags, size-sorted bins, best-fit</t>
  </si>
  <si>
    <t xml:space="preserve">Not thread-safe unless USE_LOCKS defined</t>
  </si>
  <si>
    <t xml:space="preserve">General purpose: fast, space-conserving, portable, tunable (author)</t>
  </si>
  <si>
    <t xml:space="preserve">Public domain; build-time options</t>
  </si>
  <si>
    <t xml:space="preserve">Arenas, bins (tcache, fast, small, large, unsorted)</t>
  </si>
  <si>
    <t xml:space="preserve">Multiple arenas; per-thread tcache since 2.26</t>
  </si>
  <si>
    <t xml:space="preserve">Balanced general-purpose allocator</t>
  </si>
  <si>
    <t xml:space="preserve">Tunables; hooks removed in 2.34</t>
  </si>
  <si>
    <t xml:space="preserve">S2, S6, S8</t>
  </si>
  <si>
    <t xml:space="preserve">Arenas with size-class slabs</t>
  </si>
  <si>
    <t xml:space="preserve">Arenas + thread caches (array-based)</t>
  </si>
  <si>
    <t xml:space="preserve">Scalability and fragmentation control; hugepage allocator work</t>
  </si>
  <si>
    <t xml:space="preserve">mallctl interface; debug build checks</t>
  </si>
  <si>
    <t xml:space="preserve">S9, S10, S22</t>
  </si>
  <si>
    <t xml:space="preserve">Front end (per-CPU or per-thread) -&gt; middle end (transfer cache, central free list) -&gt; back end (page heap or hugepage-aware)</t>
  </si>
  <si>
    <t xml:space="preserve">Per-CPU caches via rseq; per-thread fallback</t>
  </si>
  <si>
    <t xml:space="preserve">Efficiency at scale and parallelism</t>
  </si>
  <si>
    <t xml:space="preserve">Bazel build; MallocExtension API</t>
  </si>
  <si>
    <t xml:space="preserve">S14, S15</t>
  </si>
  <si>
    <t xml:space="preserve">Pages of one size class, multiple free lists per page</t>
  </si>
  <si>
    <t xml:space="preserve">Sharded heaps: local + remote free lists</t>
  </si>
  <si>
    <t xml:space="preserve">Performance and small footprint (project claims leading benchmarks)</t>
  </si>
  <si>
    <t xml:space="preserve">Secure build; v1/v2/v3 branches</t>
  </si>
  <si>
    <t xml:space="preserve">S17, S19</t>
  </si>
  <si>
    <t xml:space="preserve">Slabs with 64-bit metadata per 64 KiB slab</t>
  </si>
  <si>
    <t xml:space="preserve">Lock-free message passing for remote frees</t>
  </si>
  <si>
    <t xml:space="preserve">Producer/consumer workloads</t>
  </si>
  <si>
    <t xml:space="preserve">Header-only C++; hardened build</t>
  </si>
  <si>
    <t xml:space="preserve">S35</t>
  </si>
  <si>
    <t xml:space="preserve">Primary (size-class regions), Secondary (mmap), quarantine</t>
  </si>
  <si>
    <t xml:space="preserve">Thread-specific data registry: exclusive (TLS) or shared pool</t>
  </si>
  <si>
    <t xml:space="preserve">Security/performance balance, highly tunable</t>
  </si>
  <si>
    <t xml:space="preserve">SCUDO_OPTIONS, mallopt, compile-time config</t>
  </si>
  <si>
    <t xml:space="preserve">S20</t>
  </si>
  <si>
    <t xml:space="preserve">Slab regions per arena and size class; large allocations are mmaps tracked in a hash table</t>
  </si>
  <si>
    <t xml:space="preserve">Independent arenas (default 4), per-size-class locks, no thread caches</t>
  </si>
  <si>
    <t xml:space="preserve">Security and long-term memory use over micro-benchmarks</t>
  </si>
  <si>
    <t xml:space="preserve">default vs light config; many CONFIG_* options</t>
  </si>
  <si>
    <t xml:space="preserve">S22</t>
  </si>
  <si>
    <t xml:space="preserve">mmap regions with out-of-band metadata</t>
  </si>
  <si>
    <t xml:space="preserve">Per-pool caches (default 64 pages)</t>
  </si>
  <si>
    <t xml:space="preserve">Security-relevant features</t>
  </si>
  <si>
    <t xml:space="preserve">/etc/malloc.conf, MALLOC_OPTIONS flags</t>
  </si>
  <si>
    <t xml:space="preserve">S23, S25</t>
  </si>
  <si>
    <t xml:space="preserve">Groups/slots with out-of-band group metadata</t>
  </si>
  <si>
    <t xml:space="preserve">Not reviewed</t>
  </si>
  <si>
    <t xml:space="preserve">Fine-grained return of memory, avoiding catastrophic fragmentation, hardening</t>
  </si>
  <si>
    <t xml:space="preserve">Partitions -&gt; buckets -&gt; slot spans in 2 MiB super pages</t>
  </si>
  <si>
    <t xml:space="preserve">Per-partition lock + thread cache</t>
  </si>
  <si>
    <t xml:space="preserve">Space efficiency, allocation latency, security</t>
  </si>
  <si>
    <t xml:space="preserve">Chromium build flags</t>
  </si>
  <si>
    <t xml:space="preserve">xzone malloc (Apple)</t>
  </si>
  <si>
    <t xml:space="preserve">Segments (4 MB) -&gt; slices -&gt; chunks; TINY/SMALL xzones; segment groups</t>
  </si>
  <si>
    <t xml:space="preserve">Global xzones; contention detection upgrades to per-CPU chunks; thread caches for very small sizes</t>
  </si>
  <si>
    <t xml:space="preserve">Memory efficiency and security over raw speed</t>
  </si>
  <si>
    <t xml:space="preserve">Entitlements, environment variables, hardened-heap config</t>
  </si>
  <si>
    <t xml:space="preserve">S28</t>
  </si>
  <si>
    <t xml:space="preserve">Windows NT Heap + LFH</t>
  </si>
  <si>
    <t xml:space="preserve">Heap with bucketed LFH front end</t>
  </si>
  <si>
    <t xml:space="preserve">Reduce fragmentation (LFH)</t>
  </si>
  <si>
    <t xml:space="preserve">Registry / heap flags</t>
  </si>
  <si>
    <t xml:space="preserve">S34</t>
  </si>
  <si>
    <t xml:space="preserve">Back-end segments; VS subsegments; LFH</t>
  </si>
  <si>
    <t xml:space="preserve">Lower memory use (Edge)</t>
  </si>
  <si>
    <t xml:space="preserve">App manifest / HEAP_ENABLE_SEGMENT_HEAP</t>
  </si>
  <si>
    <t xml:space="preserve">Security matrix</t>
  </si>
  <si>
    <t xml:space="preserve">Y = default-on, P = optional/partial, N = absent, ? = not confirmed. Score: Y=2, P=1, N and ?=0 (max 20).</t>
  </si>
  <si>
    <t xml:space="preserve">Minimum confirmed cells to rate:</t>
  </si>
  <si>
    <t xml:space="preserve">Medium from score:</t>
  </si>
  <si>
    <t xml:space="preserve">High from score:</t>
  </si>
  <si>
    <t xml:space="preserve">Thresholds are my own convention. Edit the blue cells to re-tier.</t>
  </si>
  <si>
    <t xml:space="preserve">Scope assessed</t>
  </si>
  <si>
    <t xml:space="preserve">Out-of-line metadata (free-list links excepted)</t>
  </si>
  <si>
    <t xml:space="preserve">Free-list pointer protection / no in-object free list</t>
  </si>
  <si>
    <t xml:space="preserve">Guard pages by default</t>
  </si>
  <si>
    <t xml:space="preserve">Randomized placement / reuse</t>
  </si>
  <si>
    <t xml:space="preserve">Delayed reuse / quarantine (default)</t>
  </si>
  <si>
    <t xml:space="preserve">Invalid / double-free detection</t>
  </si>
  <si>
    <t xml:space="preserve">Canaries / header checksum / integrity cookie</t>
  </si>
  <si>
    <t xml:space="preserve">Zero or junk fill</t>
  </si>
  <si>
    <t xml:space="preserve">MTE (hardware tagging) support</t>
  </si>
  <si>
    <t xml:space="preserve">Type / partition isolation</t>
  </si>
  <si>
    <t xml:space="preserve">Hardening score (0-20)</t>
  </si>
  <si>
    <t xml:space="preserve">Confirmed cells</t>
  </si>
  <si>
    <t xml:space="preserve">Hardening tier</t>
  </si>
  <si>
    <t xml:space="preserve">Basis (S-codes) and notes</t>
  </si>
  <si>
    <t xml:space="preserve">Reference code, default config</t>
  </si>
  <si>
    <t xml:space="preserve">N</t>
  </si>
  <si>
    <t xml:space="preserve">P</t>
  </si>
  <si>
    <t xml:space="preserve">Inline boundary tags. Header says security is 'static-safe; optionally more or less' (build-time options) so detection = P. S1, S2</t>
  </si>
  <si>
    <t xml:space="preserve">glibc 2.32+ defaults</t>
  </si>
  <si>
    <t xml:space="preserve">Y</t>
  </si>
  <si>
    <t xml:space="preserve">?</t>
  </si>
  <si>
    <t xml:space="preserve">Safe-linking on tcache/fastbins since 2.32 (needs heap leak to bypass); tcache double-free key since 2.29; relies on ASLR only. MTE not confirmed. S4, S5, S6</t>
  </si>
  <si>
    <t xml:space="preserve">5.3.1 default build</t>
  </si>
  <si>
    <t xml:space="preserve">Slab/extent metadata kept apart and thread caches are arrays (design knowledge + hardened_malloc README); double-free detection only in debug build (5.3.1 ChangeLog). Y cells for metadata/free-list are from design knowledge, not a fetched doc. S10, S22</t>
  </si>
  <si>
    <t xml:space="preserve">google/tcmalloc</t>
  </si>
  <si>
    <t xml:space="preserve">Docs describe performance design; free lists are singly linked inside freed objects. Too few security cells confirmed to rate. S15, S16</t>
  </si>
  <si>
    <t xml:space="preserve">v3 default; secure features need secure build</t>
  </si>
  <si>
    <t xml:space="preserve">Secure build adds guard pages, randomized allocation, encrypted free lists; double-free mitigation in secure mode (release notes); v3 separates page metadata by default. S17</t>
  </si>
  <si>
    <t xml:space="preserve">LLVM docs, default options</t>
  </si>
  <si>
    <t xml:space="preserve">Inline 8-byte checksummed header; quarantine disabled by default; Secondary allocations have guard pages; zero/pattern fill options default off; MTE tuning API. S20</t>
  </si>
  <si>
    <t xml:space="preserve">Default config (not 'light')</t>
  </si>
  <si>
    <t xml:space="preserve">README: fully out-of-line state, guard slabs, canaries, zero-on-free, random + FIFO quarantine, MTE on ARMv8.5+; size classes isolated in separate regions (not type-aware). 'Light' config disables quarantines and some checks. S22</t>
  </si>
  <si>
    <t xml:space="preserve">Current OpenBSD defaults</t>
  </si>
  <si>
    <t xml:space="preserve">Out-of-band metadata, no freelist/headers, randomization, delayed free (mandatory since 2017), invalid-free detection, junk level 1 by default; guard pages (G) and canaries (C/S) are options. S23, S24, S25, S46</t>
  </si>
  <si>
    <t xml:space="preserve">musl 1.2.1+</t>
  </si>
  <si>
    <t xml:space="preserve">Release note claims detection of overflow, double-free and UAF without allocator-state corruption. Metadata/free-list cells are from design knowledge. Too few cells confirmed to rate. S26</t>
  </si>
  <si>
    <t xml:space="preserve">Chromium design doc</t>
  </si>
  <si>
    <t xml:space="preserve">Metadata out-of-line between guard pages (freelist pointers excepted); freelist pointers byte-reversed + shadow copy; separate partitions/buckets avoid type confusion; address space kept reserved. S27</t>
  </si>
  <si>
    <t xml:space="preserve">Apple OS platform defaults</t>
  </si>
  <si>
    <t xml:space="preserve">Type isolation, externalized metadata, zero-on-free below 1 KB. PAC-signed free-list links only where PAC exists; guard pages probabilistic (hardened heap enables on all platforms); MTE via entitlement. S28</t>
  </si>
  <si>
    <t xml:space="preserve">Windows 8+ behaviour</t>
  </si>
  <si>
    <t xml:space="preserve">XP SP2: safe unlinking + header cookie; Vista: LFH replaces lookaside lists and hardens against known metadata-corruption techniques; Windows 8: LFH allocation randomization. S31, S32, S34</t>
  </si>
  <si>
    <t xml:space="preserve">Windows 10+</t>
  </si>
  <si>
    <t xml:space="preserve">VS block header encoding documented (Yason). Little else confirmed in sources used. S30</t>
  </si>
  <si>
    <t xml:space="preserve">Reading the score: it counts only features listed in the ten columns. Type isolation and MTE each count as one feature, so type-aware allocators are likely under-scored. Snmalloc is not scored (no confirmed cells).</t>
  </si>
  <si>
    <t xml:space="preserve">Exposure ranking</t>
  </si>
  <si>
    <t xml:space="preserve">Order = my ordering, most to least exposed by documented defaults. Score and tier are pulled from the Security Matrix.</t>
  </si>
  <si>
    <t xml:space="preserve">Order</t>
  </si>
  <si>
    <t xml:space="preserve">Hardening score</t>
  </si>
  <si>
    <t xml:space="preserve">Why</t>
  </si>
  <si>
    <t xml:space="preserve">Exploit literature / context</t>
  </si>
  <si>
    <t xml:space="preserve">Main OS</t>
  </si>
  <si>
    <t xml:space="preserve">Inline tags next to user data; no randomization, quarantine or canaries by default. Mostly reference/embedded code today.</t>
  </si>
  <si>
    <t xml:space="preserve">Classic unlink and top-chunk techniques were written against dlmalloc-style heaps (e.g. 'Vudo malloc tricks', Malloc Maleficarum, per BH2007 slides).</t>
  </si>
  <si>
    <t xml:space="preserve">Embedded systems, older Linux libc</t>
  </si>
  <si>
    <t xml:space="preserve">Inline metadata; protections are consistency checks + safe-linking, no randomization/quarantine/canaries.</t>
  </si>
  <si>
    <t xml:space="preserve">Largest public literature: how2heap covers glibc 2.23-2.41. Each release removed techniques (2.26, 2.29, 2.32, 2.34) and attackers moved to FILE-structure and exit-handler targets.</t>
  </si>
  <si>
    <t xml:space="preserve">Linux (Debian/Ubuntu/Fedora/RHEL families)</t>
  </si>
  <si>
    <t xml:space="preserve">Out-of-line slab metadata is good, but no guard pages, randomization or quarantine by default; double-free check is debug-only.</t>
  </si>
  <si>
    <t xml:space="preserve">Far less public heap-exploitation literature than glibc in sources reviewed; deployed mainly in servers/browsers.</t>
  </si>
  <si>
    <t xml:space="preserve">FreeBSD, Firefox, server software</t>
  </si>
  <si>
    <t xml:space="preserve">Performance-first default build; hardening is a separate secure build.</t>
  </si>
  <si>
    <t xml:space="preserve">Secure mode options exist (guard pages, randomized allocation, encrypted free lists).</t>
  </si>
  <si>
    <t xml:space="preserve">Windows, Linux, macOS</t>
  </si>
  <si>
    <t xml:space="preserve">Out-of-line metadata between guard pages, partition isolation, encoded free-list pointers.</t>
  </si>
  <si>
    <t xml:space="preserve">Type-confusion defence by design; freelist pointers are the stated inline exception.</t>
  </si>
  <si>
    <t xml:space="preserve">Chrome / Chromium</t>
  </si>
  <si>
    <t xml:space="preserve">Type isolation + externalized metadata + zero-on-free + MTE support.</t>
  </si>
  <si>
    <t xml:space="preserve">Apple frames it as part of Memory Integrity Enforcement; PAC protects free-list links where available.</t>
  </si>
  <si>
    <t xml:space="preserve">macOS, iOS</t>
  </si>
  <si>
    <t xml:space="preserve">Checksummed headers, randomization, MTE support; but headers are inline and quarantine is off by default.</t>
  </si>
  <si>
    <t xml:space="preserve">Mitigation-oriented; LLVM docs say it is not a root-cause tool (use ASan).</t>
  </si>
  <si>
    <t xml:space="preserve">Android 11+, Fuchsia</t>
  </si>
  <si>
    <t xml:space="preserve">Out-of-band metadata, randomization, delayed free, invalid-free detection.</t>
  </si>
  <si>
    <t xml:space="preserve">Qualys researched OpenSSH CVE-2023-25136 on OpenBSD 7.2: hardening raises cost, it does not remove logic bugs.</t>
  </si>
  <si>
    <t xml:space="preserve">Most default-on protections in this workbook (project claims traditional allocator exploitation does not work).</t>
  </si>
  <si>
    <t xml:space="preserve">Claim is from the project README; no independent review included here.</t>
  </si>
  <si>
    <t xml:space="preserve">GrapheneOS, Linux (preload)</t>
  </si>
  <si>
    <t xml:space="preserve">n/r</t>
  </si>
  <si>
    <t xml:space="preserve">Not rated: security-feature cells mostly unconfirmed.</t>
  </si>
  <si>
    <t xml:space="preserve">Design docs emphasise performance and scale.</t>
  </si>
  <si>
    <t xml:space="preserve">Google production, Linux</t>
  </si>
  <si>
    <t xml:space="preserve">Not rated: project claims strong hardening; few cells confirmed.</t>
  </si>
  <si>
    <t xml:space="preserve">Release announcement claims allocator state is not corruptible via caller errors.</t>
  </si>
  <si>
    <t xml:space="preserve">musl-based Linux</t>
  </si>
  <si>
    <t xml:space="preserve">Not rated: hardened over XP SP2 / Vista / Windows 8; attackers shifted to application data.</t>
  </si>
  <si>
    <t xml:space="preserve">MSRC: after Vista, most known metadata-corruption techniques stopped working; LFH determinism research (Valasek, BH 2010).</t>
  </si>
  <si>
    <t xml:space="preserve">Not rated: only header encoding confirmed.</t>
  </si>
  <si>
    <t xml:space="preserve">Internals documented by Yason (Black Hat USA 2016).</t>
  </si>
  <si>
    <t xml:space="preserve">Windows 10+, Edge</t>
  </si>
  <si>
    <t xml:space="preserve">Answer: by documented defaults, glibc malloc / dlmalloc-style heaps are the most exposed; hardened_malloc and OpenBSD malloc the least. Hardened allocators raise exploitation cost but do not remove the underlying bug.</t>
  </si>
  <si>
    <t xml:space="preserve">Heap attack techniques and TTP mapping</t>
  </si>
  <si>
    <t xml:space="preserve">Technique names, affected versions and mitigations only. ATT&amp;CK IDs map the exploitation outcome, since ATT&amp;CK has no allocator-specific technique.</t>
  </si>
  <si>
    <t xml:space="preserve">Technique</t>
  </si>
  <si>
    <t xml:space="preserve">Class</t>
  </si>
  <si>
    <t xml:space="preserve">Affects</t>
  </si>
  <si>
    <t xml:space="preserve">Needs (bug primitive)</t>
  </si>
  <si>
    <t xml:space="preserve">Status / mitigation</t>
  </si>
  <si>
    <t xml:space="preserve">CWE</t>
  </si>
  <si>
    <t xml:space="preserve">CAPEC</t>
  </si>
  <si>
    <t xml:space="preserve">ATT&amp;CK</t>
  </si>
  <si>
    <t xml:space="preserve">Unlink-style corruption of doubly-linked lists</t>
  </si>
  <si>
    <t xml:space="preserve">Metadata corruption</t>
  </si>
  <si>
    <t xml:space="preserve">glibc small/large bins; dlmalloc-style heaps</t>
  </si>
  <si>
    <t xml:space="preserve">Heap overflow or use-after-free reaching free-chunk fd/bk</t>
  </si>
  <si>
    <t xml:space="preserve">Safe-unlinking (check p-&gt;fd-&gt;bk == p) protects doubly-linked lists such as small bins.</t>
  </si>
  <si>
    <t xml:space="preserve">CWE-122, CWE-787</t>
  </si>
  <si>
    <t xml:space="preserve">CAPEC-100</t>
  </si>
  <si>
    <t xml:space="preserve">T1068, T1203</t>
  </si>
  <si>
    <t xml:space="preserve">S4, S5</t>
  </si>
  <si>
    <t xml:space="preserve">Fastbin dup / fastbin attack</t>
  </si>
  <si>
    <t xml:space="preserve">Free-list poisoning</t>
  </si>
  <si>
    <t xml:space="preserve">glibc (pre-tcache and fastbin paths)</t>
  </si>
  <si>
    <t xml:space="preserve">Double free or overflow into a single-linked free-list pointer</t>
  </si>
  <si>
    <t xml:space="preserve">Safe-linking added to fastbins and tcache in glibc 2.32. CVE-2020-6007 (smart-lightbulb research) was Check Point's fastbin test case.</t>
  </si>
  <si>
    <t xml:space="preserve">CWE-415, CWE-122</t>
  </si>
  <si>
    <t xml:space="preserve">T1203, T1190</t>
  </si>
  <si>
    <t xml:space="preserve">tcache dup (double free)</t>
  </si>
  <si>
    <t xml:space="preserve">glibc 2.26 onward</t>
  </si>
  <si>
    <t xml:space="preserve">Double free</t>
  </si>
  <si>
    <t xml:space="preserve">No detection in 2.26-2.28; tcache key check added in 2.29; House of Botcake is a bypass listed for 2.29-2.31.</t>
  </si>
  <si>
    <t xml:space="preserve">CWE-415</t>
  </si>
  <si>
    <t xml:space="preserve">S6, S7</t>
  </si>
  <si>
    <t xml:space="preserve">tcache poisoning</t>
  </si>
  <si>
    <t xml:space="preserve">Overflow or use-after-free over a tcache next pointer</t>
  </si>
  <si>
    <t xml:space="preserve">Safe-linking (2.32) obfuscates pointers; exploitation then needs a heap address leak.</t>
  </si>
  <si>
    <t xml:space="preserve">CWE-416, CWE-122</t>
  </si>
  <si>
    <t xml:space="preserve">S4, S6</t>
  </si>
  <si>
    <t xml:space="preserve">House of Force</t>
  </si>
  <si>
    <t xml:space="preserve">Top-chunk corruption</t>
  </si>
  <si>
    <t xml:space="preserve">glibc before 2.29</t>
  </si>
  <si>
    <t xml:space="preserve">Overflow over the top chunk size field</t>
  </si>
  <si>
    <t xml:space="preserve">Patched by top-chunk size validation in 2.29. how2heap lists House of Tangerine as a modern top-chunk technique.</t>
  </si>
  <si>
    <t xml:space="preserve">CWE-122, CWE-190</t>
  </si>
  <si>
    <t xml:space="preserve">CAPEC-92</t>
  </si>
  <si>
    <t xml:space="preserve">House of Spirit</t>
  </si>
  <si>
    <t xml:space="preserve">Forged-chunk free</t>
  </si>
  <si>
    <t xml:space="preserve">glibc (classic and tcache variants)</t>
  </si>
  <si>
    <t xml:space="preserve">Ability to free a controlled fake chunk</t>
  </si>
  <si>
    <t xml:space="preserve">how2heap and academic thesis list classic and tcache variants; allocator checks vary by version.</t>
  </si>
  <si>
    <t xml:space="preserve">CWE-590, CWE-122</t>
  </si>
  <si>
    <t xml:space="preserve">T1203</t>
  </si>
  <si>
    <t xml:space="preserve">S6</t>
  </si>
  <si>
    <t xml:space="preserve">House of Lore</t>
  </si>
  <si>
    <t xml:space="preserve">Small-bin corruption</t>
  </si>
  <si>
    <t xml:space="preserve">glibc small bins</t>
  </si>
  <si>
    <t xml:space="preserve">Control of a freed small-bin chunk's links</t>
  </si>
  <si>
    <t xml:space="preserve">Safe-unlinking mitigates doubly-linked list attacks (S5).</t>
  </si>
  <si>
    <t xml:space="preserve">S5, S6</t>
  </si>
  <si>
    <t xml:space="preserve">House of Orange / FILE-structure abuse</t>
  </si>
  <si>
    <t xml:space="preserve">Indirect control-flow hijack</t>
  </si>
  <si>
    <t xml:space="preserve">glibc</t>
  </si>
  <si>
    <t xml:space="preserve">Heap corruption reaching FILE structures</t>
  </si>
  <si>
    <t xml:space="preserve">After malloc hooks were removed in 2.34, public write-ups point to _IO_FILE, exit_funcs and TLS_dtor_list as targets.</t>
  </si>
  <si>
    <t xml:space="preserve">CWE-122</t>
  </si>
  <si>
    <t xml:space="preserve">Unsorted-bin / large-bin attacks</t>
  </si>
  <si>
    <t xml:space="preserve">Bin corruption</t>
  </si>
  <si>
    <t xml:space="preserve">glibc (unsorted-bin attacks pre-2.26; large-bin attack in newer versions)</t>
  </si>
  <si>
    <t xml:space="preserve">Corruption of bin pointers</t>
  </si>
  <si>
    <t xml:space="preserve">how2heap notes unsorted-bin attacks are replaced by tcache or large_bin_attack techniques on newer glibc.</t>
  </si>
  <si>
    <t xml:space="preserve">CWE-122, CWE-416</t>
  </si>
  <si>
    <t xml:space="preserve">malloc/free hook overwrite</t>
  </si>
  <si>
    <t xml:space="preserve">Control-flow hijack primitive</t>
  </si>
  <si>
    <t xml:space="preserve">glibc before 2.34</t>
  </si>
  <si>
    <t xml:space="preserve">Arbitrary write</t>
  </si>
  <si>
    <t xml:space="preserve">All hook variables removed from the API in glibc 2.34.</t>
  </si>
  <si>
    <t xml:space="preserve">CWE-787</t>
  </si>
  <si>
    <t xml:space="preserve">S6, S8</t>
  </si>
  <si>
    <t xml:space="preserve">Safe-linking bypass / leakless tcache</t>
  </si>
  <si>
    <t xml:space="preserve">Mitigation bypass</t>
  </si>
  <si>
    <t xml:space="preserve">glibc 2.32 onward</t>
  </si>
  <si>
    <t xml:space="preserve">Heap address leak, or leakless techniques</t>
  </si>
  <si>
    <t xml:space="preserve">how2heap lists house_of_water and safe_link_double_protect (2.36+), house_of_tangerine (2.39+), tcache_relative_write (2.41).</t>
  </si>
  <si>
    <t xml:space="preserve">Windows heap metadata corruption (pre-Vista)</t>
  </si>
  <si>
    <t xml:space="preserve">Windows XP / Server 2003 NT heap</t>
  </si>
  <si>
    <t xml:space="preserve">Heap overflow</t>
  </si>
  <si>
    <t xml:space="preserve">XP SP2/2003 SP1 added safe unlinking and heap entry header cookies; lookaside-list attacks and cookie prediction bypassed them; Vista replaced lookaside lists with LFH.</t>
  </si>
  <si>
    <t xml:space="preserve">T1203, T1068</t>
  </si>
  <si>
    <t xml:space="preserve">S31</t>
  </si>
  <si>
    <t xml:space="preserve">Application-data corruption + heap grooming</t>
  </si>
  <si>
    <t xml:space="preserve">Data-only exploitation</t>
  </si>
  <si>
    <t xml:space="preserve">Windows Vista and later (NT heap + LFH)</t>
  </si>
  <si>
    <t xml:space="preserve">Heap overflow or UAF plus predictable layout</t>
  </si>
  <si>
    <t xml:space="preserve">MSRC: after Vista, attackers shifted to application-specific data on the heap. LFH determinism was studied (Valasek, BH 2010); Windows 8 added allocation randomization.</t>
  </si>
  <si>
    <t xml:space="preserve">S32, S33, S34</t>
  </si>
  <si>
    <t xml:space="preserve">Heap feng shui / spraying</t>
  </si>
  <si>
    <t xml:space="preserve">Layout control</t>
  </si>
  <si>
    <t xml:space="preserve">Allocator-agnostic</t>
  </si>
  <si>
    <t xml:space="preserve">Predictable allocation and reuse</t>
  </si>
  <si>
    <t xml:space="preserve">Randomized reuse counters it (OpenBSD note names 'heap feng shui'; hardened_malloc random + FIFO quarantine).</t>
  </si>
  <si>
    <t xml:space="preserve">S22, S24</t>
  </si>
  <si>
    <t xml:space="preserve">Use-after-free type confusion</t>
  </si>
  <si>
    <t xml:space="preserve">Object reuse</t>
  </si>
  <si>
    <t xml:space="preserve">Freed slot reused by a different type</t>
  </si>
  <si>
    <t xml:space="preserve">Type isolation: PartitionAlloc partitions, Apple xzone malloc buckets; MTE gives probabilistic or deterministic detection.</t>
  </si>
  <si>
    <t xml:space="preserve">CWE-416</t>
  </si>
  <si>
    <t xml:space="preserve">S27, S28</t>
  </si>
  <si>
    <t xml:space="preserve">Integer overflow -&gt; undersized allocation -&gt; heap overflow</t>
  </si>
  <si>
    <t xml:space="preserve">Size miscalculation</t>
  </si>
  <si>
    <t xml:space="preserve">Attacker-influenced size arithmetic</t>
  </si>
  <si>
    <t xml:space="preserve">CAPEC-92 notes integer is often used as an allocation size. CWE-680 describes the chain.</t>
  </si>
  <si>
    <t xml:space="preserve">CWE-190, CWE-680, CWE-122</t>
  </si>
  <si>
    <t xml:space="preserve">CAPEC-92, CAPEC-100</t>
  </si>
  <si>
    <t xml:space="preserve">S40, S41, S45</t>
  </si>
  <si>
    <t xml:space="preserve">MITRE reference IDs</t>
  </si>
  <si>
    <t xml:space="preserve">CWE weaknesses, CAPEC attack patterns and ATT&amp;CK techniques relevant to heap exploitation</t>
  </si>
  <si>
    <t xml:space="preserve">Framework</t>
  </si>
  <si>
    <t xml:space="preserve">ID</t>
  </si>
  <si>
    <t xml:space="preserve">Name</t>
  </si>
  <si>
    <t xml:space="preserve">Relevance to allocators</t>
  </si>
  <si>
    <t xml:space="preserve">Heap-based Buffer Overflow</t>
  </si>
  <si>
    <t xml:space="preserve">Buffer allocated with malloc() written past its end; can overwrite function pointers or allocator metadata.</t>
  </si>
  <si>
    <t xml:space="preserve">S40</t>
  </si>
  <si>
    <t xml:space="preserve">Out-of-bounds Write</t>
  </si>
  <si>
    <t xml:space="preserve">Parent class for most heap write primitives.</t>
  </si>
  <si>
    <t xml:space="preserve">Standard CWE list</t>
  </si>
  <si>
    <t xml:space="preserve">CWE-125</t>
  </si>
  <si>
    <t xml:space="preserve">Out-of-bounds Read</t>
  </si>
  <si>
    <t xml:space="preserve">Heap information leaks (needed for safe-linking bypass and ASLR defeat).</t>
  </si>
  <si>
    <t xml:space="preserve">Use After Free</t>
  </si>
  <si>
    <t xml:space="preserve">Freed chunk or slot reused; basis of tcache poisoning and type confusion.</t>
  </si>
  <si>
    <t xml:space="preserve">Double Free</t>
  </si>
  <si>
    <t xml:space="preserve">Same chunk freed twice; tcache dup / fastbin dup.</t>
  </si>
  <si>
    <t xml:space="preserve">CWE-590</t>
  </si>
  <si>
    <t xml:space="preserve">Free of Memory not on the Heap</t>
  </si>
  <si>
    <t xml:space="preserve">Freeing a forged or non-heap pointer (House of Spirit class).</t>
  </si>
  <si>
    <t xml:space="preserve">CWE-120</t>
  </si>
  <si>
    <t xml:space="preserve">Buffer Copy without Checking Size of Input ('Classic Buffer Overflow')</t>
  </si>
  <si>
    <t xml:space="preserve">Generic overflow parent seen in CAPEC-100 relations.</t>
  </si>
  <si>
    <t xml:space="preserve">S44</t>
  </si>
  <si>
    <t xml:space="preserve">CWE-190</t>
  </si>
  <si>
    <t xml:space="preserve">Integer Overflow or Wraparound</t>
  </si>
  <si>
    <t xml:space="preserve">Size arithmetic that yields an undersized allocation.</t>
  </si>
  <si>
    <t xml:space="preserve">S45</t>
  </si>
  <si>
    <t xml:space="preserve">CWE-680</t>
  </si>
  <si>
    <t xml:space="preserve">Integer Overflow to Buffer Overflow</t>
  </si>
  <si>
    <t xml:space="preserve">Calculation of allocation size overflows, allocating less than expected.</t>
  </si>
  <si>
    <t xml:space="preserve">Overflow Buffers</t>
  </si>
  <si>
    <t xml:space="preserve">Attack pattern: write past buffer bounds, crash or redirect execution.</t>
  </si>
  <si>
    <t xml:space="preserve">Forced Integer Overflow</t>
  </si>
  <si>
    <t xml:space="preserve">Attack pattern: force an integer, often an allocation size, out of range.</t>
  </si>
  <si>
    <t xml:space="preserve">S41</t>
  </si>
  <si>
    <t xml:space="preserve">Exploitation for Client Execution (Execution)</t>
  </si>
  <si>
    <t xml:space="preserve">Heap corruption in client apps (browsers, Office, PDF readers).</t>
  </si>
  <si>
    <t xml:space="preserve">S42</t>
  </si>
  <si>
    <t xml:space="preserve">T1068</t>
  </si>
  <si>
    <t xml:space="preserve">Exploitation for Privilege Escalation (Privilege Escalation)</t>
  </si>
  <si>
    <t xml:space="preserve">Local heap bugs in privileged programs, e.g. sudo CVE-2021-3156.</t>
  </si>
  <si>
    <t xml:space="preserve">T1190</t>
  </si>
  <si>
    <t xml:space="preserve">Exploit Public-Facing Application (Initial Access)</t>
  </si>
  <si>
    <t xml:space="preserve">Remote heap bugs in internet-facing services.</t>
  </si>
  <si>
    <t xml:space="preserve">S43</t>
  </si>
  <si>
    <t xml:space="preserve">T1210</t>
  </si>
  <si>
    <t xml:space="preserve">Exploitation of Remote Services (Lateral Movement)</t>
  </si>
  <si>
    <t xml:space="preserve">Remote heap bugs in internal services.</t>
  </si>
  <si>
    <t xml:space="preserve">T1212</t>
  </si>
  <si>
    <t xml:space="preserve">Exploitation for Credential Access (Credential Access)</t>
  </si>
  <si>
    <t xml:space="preserve">Heap bugs used to obtain credentials from a service.</t>
  </si>
  <si>
    <t xml:space="preserve">CWE-787/125/416/415/590 are standard CWE IDs listed from general knowledge; ATT&amp;CK names were cross-checked against secondary pages (S42, S43), not fetched from attack.mitre.org.</t>
  </si>
  <si>
    <t xml:space="preserve">Public disclosures; not exhaustive</t>
  </si>
  <si>
    <t xml:space="preserve">Case</t>
  </si>
  <si>
    <t xml:space="preserve">Target / OS / allocator context</t>
  </si>
  <si>
    <t xml:space="preserve">What happened</t>
  </si>
  <si>
    <t xml:space="preserve">Timeline / notes</t>
  </si>
  <si>
    <t xml:space="preserve">CVE-2021-3156 'Baron Samedit'</t>
  </si>
  <si>
    <t xml:space="preserve">sudo (Linux/Unix); allocator context: glibc malloc</t>
  </si>
  <si>
    <t xml:space="preserve">Heap-based buffer overflow in sudo's argument handling (reachable via 'sudoedit -s' with an argument ending in a backslash). Qualys obtained root on Ubuntu 20.04 (sudo 1.8.31), Debian 10 (1.8.27) and Fedora 33 (1.9.2).</t>
  </si>
  <si>
    <t xml:space="preserve">Reported by Qualys on 26 Jan 2021; vulnerable code introduced July 2011; fixed in sudo 1.9.5p2; listed in CISA KEV (per GCVE record).</t>
  </si>
  <si>
    <t xml:space="preserve">S37, S38, S39</t>
  </si>
  <si>
    <t xml:space="preserve">CVE-2020-6007</t>
  </si>
  <si>
    <t xml:space="preserve">Smart-lightbulb firmware (Check Point Research); glibc/uClibc-NG fastbin context</t>
  </si>
  <si>
    <t xml:space="preserve">Heap-based buffer overflow found during smart-lightbulb research; used as the worked fastbin-exploitation example that led to the Safe-Linking design.</t>
  </si>
  <si>
    <t xml:space="preserve">Safe-Linking published 21 May 2020 (Eyal Itkin, Check Point Research); merged for glibc 2.32.</t>
  </si>
  <si>
    <t xml:space="preserve">CVE-2023-25136</t>
  </si>
  <si>
    <t xml:space="preserve">OpenSSH; OpenBSD 7.2 vs Debian bookworm (glibc)</t>
  </si>
  <si>
    <t xml:space="preserve">Double-free in OpenSSH. Qualys started on glibc, then switched to OpenBSD 7.2 because two features of OpenBSD malloc made the bug especially interesting.</t>
  </si>
  <si>
    <t xml:space="preserve">Shows a hardened allocator changes the exploitation work, not the existence of the bug. Reported via a secondary source (isopenbsdsecu.re quoting Qualys).</t>
  </si>
  <si>
    <t xml:space="preserve">T1190 (if sshd exposed)</t>
  </si>
  <si>
    <t xml:space="preserve">S24</t>
  </si>
  <si>
    <t xml:space="preserve">Windows Low Fragmentation Heap research</t>
  </si>
  <si>
    <t xml:space="preserve">Chris Valasek, 'Understanding the Low-Fragmentation Heap: From Allocation to Exploitation', Black Hat USA 2010: heap determinism and metadata corruption in the LFH, default since Vista.</t>
  </si>
  <si>
    <t xml:space="preserve">Research talk, not a CVE.</t>
  </si>
  <si>
    <t xml:space="preserve">S33</t>
  </si>
  <si>
    <t xml:space="preserve">Timeline</t>
  </si>
  <si>
    <t xml:space="preserve">Releases and mitigations in date order</t>
  </si>
  <si>
    <t xml:space="preserve">Date</t>
  </si>
  <si>
    <t xml:space="preserve">Allocator / OS</t>
  </si>
  <si>
    <t xml:space="preserve">Event</t>
  </si>
  <si>
    <t xml:space="preserve">Why it matters</t>
  </si>
  <si>
    <t xml:space="preserve">1987</t>
  </si>
  <si>
    <t xml:space="preserve">Doug Lea starts writing his allocator</t>
  </si>
  <si>
    <t xml:space="preserve">Ancestor of glibc malloc; released into the public domain</t>
  </si>
  <si>
    <t xml:space="preserve">S1</t>
  </si>
  <si>
    <t xml:space="preserve">2001</t>
  </si>
  <si>
    <t xml:space="preserve">glibc / ptmalloc2</t>
  </si>
  <si>
    <t xml:space="preserve">ptmalloc2 (Wolfram Gloger) adapts dlmalloc 2.7.0 for threads and arenas</t>
  </si>
  <si>
    <t xml:space="preserve">Basis of glibc malloc</t>
  </si>
  <si>
    <t xml:space="preserve">S2, S3</t>
  </si>
  <si>
    <t xml:space="preserve">1 Aug 2001</t>
  </si>
  <si>
    <t xml:space="preserve">mmap-based randomization added by Thierry Deval</t>
  </si>
  <si>
    <t xml:space="preserve">Early randomization in a libc allocator</t>
  </si>
  <si>
    <t xml:space="preserve">Windows XP</t>
  </si>
  <si>
    <t xml:space="preserve">Low Fragmentation Heap introduced</t>
  </si>
  <si>
    <t xml:space="preserve">Default front end since Vista</t>
  </si>
  <si>
    <t xml:space="preserve">Oct 2003</t>
  </si>
  <si>
    <t xml:space="preserve">Guard pages added (Ted Unangst)</t>
  </si>
  <si>
    <t xml:space="preserve">Guard-page idea based on Electric Fence</t>
  </si>
  <si>
    <t xml:space="preserve">2004</t>
  </si>
  <si>
    <t xml:space="preserve">Windows XP SP2</t>
  </si>
  <si>
    <t xml:space="preserve">Heap hardening: safe unlinking, heap entry header cookie</t>
  </si>
  <si>
    <t xml:space="preserve">First wave of Windows heap hardening</t>
  </si>
  <si>
    <t xml:space="preserve">2005</t>
  </si>
  <si>
    <t xml:space="preserve">Released as part of Google Performance Tools</t>
  </si>
  <si>
    <t xml:space="preserve">Thread-caching malloc</t>
  </si>
  <si>
    <t xml:space="preserve">S14, S16</t>
  </si>
  <si>
    <t xml:space="preserve">2005-2006</t>
  </si>
  <si>
    <t xml:space="preserve">Jason Evans writes first version for FreeBSD (sources differ on year)</t>
  </si>
  <si>
    <t xml:space="preserve">Became FreeBSD default in 7.0</t>
  </si>
  <si>
    <t xml:space="preserve">S13</t>
  </si>
  <si>
    <t xml:space="preserve">2006-2007</t>
  </si>
  <si>
    <t xml:space="preserve">Windows Vista</t>
  </si>
  <si>
    <t xml:space="preserve">LFH becomes default front end; lookaside lists replaced; heavy hardening</t>
  </si>
  <si>
    <t xml:space="preserve">Most known metadata-corruption techniques stopped working</t>
  </si>
  <si>
    <t xml:space="preserve">S31, S34</t>
  </si>
  <si>
    <t xml:space="preserve">2008</t>
  </si>
  <si>
    <t xml:space="preserve">FreeBSD 7.0</t>
  </si>
  <si>
    <t xml:space="preserve">jemalloc becomes default allocator</t>
  </si>
  <si>
    <t xml:space="preserve">Adoption milestone</t>
  </si>
  <si>
    <t xml:space="preserve">28 Jul 2008</t>
  </si>
  <si>
    <t xml:space="preserve">Otto Moerbeek writes almost-complete rewrite ('otto-malloc')</t>
  </si>
  <si>
    <t xml:space="preserve">Shipped in OpenBSD 4.4, Nov 2008</t>
  </si>
  <si>
    <t xml:space="preserve">2012</t>
  </si>
  <si>
    <t xml:space="preserve">Windows 8</t>
  </si>
  <si>
    <t xml:space="preserve">LFH allocation randomization</t>
  </si>
  <si>
    <t xml:space="preserve">Reduces heap-layout determinism</t>
  </si>
  <si>
    <t xml:space="preserve">2015</t>
  </si>
  <si>
    <t xml:space="preserve">Windows 10</t>
  </si>
  <si>
    <t xml:space="preserve">Segment Heap introduced</t>
  </si>
  <si>
    <t xml:space="preserve">Used by Edge and Windows apps</t>
  </si>
  <si>
    <t xml:space="preserve">S30</t>
  </si>
  <si>
    <t xml:space="preserve">2017</t>
  </si>
  <si>
    <t xml:space="preserve">glibc 2.26</t>
  </si>
  <si>
    <t xml:space="preserve">tcache introduced</t>
  </si>
  <si>
    <t xml:space="preserve">New primitives: tcache poisoning, tcache dup</t>
  </si>
  <si>
    <t xml:space="preserve">Sep 2017</t>
  </si>
  <si>
    <t xml:space="preserve">Delayed free made mandatory</t>
  </si>
  <si>
    <t xml:space="preserve">Limits immediate reuse of freed chunks</t>
  </si>
  <si>
    <t xml:space="preserve">2018</t>
  </si>
  <si>
    <t xml:space="preserve">GrapheneOS hardened_malloc development begins (copyright 2018 onward)</t>
  </si>
  <si>
    <t xml:space="preserve">Security-first successor to OpenBSD-malloc-based work</t>
  </si>
  <si>
    <t xml:space="preserve">2019</t>
  </si>
  <si>
    <t xml:space="preserve">glibc 2.29</t>
  </si>
  <si>
    <t xml:space="preserve">tcache key double-free check; top-chunk size check</t>
  </si>
  <si>
    <t xml:space="preserve">Patched House of Force and simple tcache dup</t>
  </si>
  <si>
    <t xml:space="preserve">23 Jun 2019</t>
  </si>
  <si>
    <t xml:space="preserve">ISMM 2019 paper presented</t>
  </si>
  <si>
    <t xml:space="preserve">Message-passing allocator</t>
  </si>
  <si>
    <t xml:space="preserve">S36</t>
  </si>
  <si>
    <t xml:space="preserve">Jun-Jul 2019</t>
  </si>
  <si>
    <t xml:space="preserve">Tech report (June 2019); initial release July 2019</t>
  </si>
  <si>
    <t xml:space="preserve">S18, S19</t>
  </si>
  <si>
    <t xml:space="preserve">Feb 2020</t>
  </si>
  <si>
    <t xml:space="preserve">Google open-sources its current TCMalloc implementation</t>
  </si>
  <si>
    <t xml:space="preserve">Per-CPU caches, hugepage-aware back end</t>
  </si>
  <si>
    <t xml:space="preserve">S14</t>
  </si>
  <si>
    <t xml:space="preserve">21 May 2020</t>
  </si>
  <si>
    <t xml:space="preserve">Safe-Linking</t>
  </si>
  <si>
    <t xml:space="preserve">Check Point Research (Eyal Itkin) publishes Safe-Linking</t>
  </si>
  <si>
    <t xml:space="preserve">Protects single-linked free lists</t>
  </si>
  <si>
    <t xml:space="preserve">S4</t>
  </si>
  <si>
    <t xml:space="preserve">2020</t>
  </si>
  <si>
    <t xml:space="preserve">Android 11</t>
  </si>
  <si>
    <t xml:space="preserve">Scudo becomes the default allocator</t>
  </si>
  <si>
    <t xml:space="preserve">Mitigation-oriented hardened allocator</t>
  </si>
  <si>
    <t xml:space="preserve">4 Aug 2020</t>
  </si>
  <si>
    <t xml:space="preserve">musl 1.2.1</t>
  </si>
  <si>
    <t xml:space="preserve">mallocng replaces the older dlmalloc-like allocator</t>
  </si>
  <si>
    <t xml:space="preserve">Release note claims strong hardening</t>
  </si>
  <si>
    <t xml:space="preserve">glibc 2.32</t>
  </si>
  <si>
    <t xml:space="preserve">Safe-linking ships</t>
  </si>
  <si>
    <t xml:space="preserve">Tcache/fastbin poisoning now needs a heap leak</t>
  </si>
  <si>
    <t xml:space="preserve">26 Jan 2021</t>
  </si>
  <si>
    <t xml:space="preserve">sudo / glibc</t>
  </si>
  <si>
    <t xml:space="preserve">Qualys discloses CVE-2021-3156 (Baron Samedit)</t>
  </si>
  <si>
    <t xml:space="preserve">Real-world glibc heap exploitation for root</t>
  </si>
  <si>
    <t xml:space="preserve">S37</t>
  </si>
  <si>
    <t xml:space="preserve">2021</t>
  </si>
  <si>
    <t xml:space="preserve">PartitionAlloc-Everywhere launched in Chrome M89 (Windows 64-bit, Android)</t>
  </si>
  <si>
    <t xml:space="preserve">Allocator used across Chromium</t>
  </si>
  <si>
    <t xml:space="preserve">glibc 2.34</t>
  </si>
  <si>
    <t xml:space="preserve">malloc hooks removed</t>
  </si>
  <si>
    <t xml:space="preserve">Attackers move to FILE / exit handler targets</t>
  </si>
  <si>
    <t xml:space="preserve">6 May 2022</t>
  </si>
  <si>
    <t xml:space="preserve">5.3.0 released</t>
  </si>
  <si>
    <t xml:space="preserve">Last release before a ~4-year gap</t>
  </si>
  <si>
    <t xml:space="preserve">S10</t>
  </si>
  <si>
    <t xml:space="preserve">2023</t>
  </si>
  <si>
    <t xml:space="preserve">Apple iOS 17</t>
  </si>
  <si>
    <t xml:space="preserve">xzone malloc (user-level type-aware allocator)</t>
  </si>
  <si>
    <t xml:space="preserve">Counterpart to kernel kalloc_type (iOS 15)</t>
  </si>
  <si>
    <t xml:space="preserve">OpenBSD 7.4</t>
  </si>
  <si>
    <t xml:space="preserve">Delayed-free-list write-after-free check</t>
  </si>
  <si>
    <t xml:space="preserve">Bug finding more than mitigation</t>
  </si>
  <si>
    <t xml:space="preserve">2 Jun 2025</t>
  </si>
  <si>
    <t xml:space="preserve">Original GitHub repository archived</t>
  </si>
  <si>
    <t xml:space="preserve">Community concern about maintenance</t>
  </si>
  <si>
    <t xml:space="preserve">S12</t>
  </si>
  <si>
    <t xml:space="preserve">2025</t>
  </si>
  <si>
    <t xml:space="preserve">Memory Integrity Enforcement on iPhone 17 / iPhone Air</t>
  </si>
  <si>
    <t xml:space="preserve">Secure allocators + MTE</t>
  </si>
  <si>
    <t xml:space="preserve">S29</t>
  </si>
  <si>
    <t xml:space="preserve">2 Mar 2026</t>
  </si>
  <si>
    <t xml:space="preserve">Meta announces renewed commitment; repository unarchived</t>
  </si>
  <si>
    <t xml:space="preserve">Maintenance restored</t>
  </si>
  <si>
    <t xml:space="preserve">S9</t>
  </si>
  <si>
    <t xml:space="preserve">13 Apr 2026</t>
  </si>
  <si>
    <t xml:space="preserve">5.3.1 released (about 390 commits)</t>
  </si>
  <si>
    <t xml:space="preserve">First release in nearly four years</t>
  </si>
  <si>
    <t xml:space="preserve">S10, S11</t>
  </si>
  <si>
    <t xml:space="preserve">12 Sep 2026</t>
  </si>
  <si>
    <t xml:space="preserve">v3.5.2 released (v3 recommended)</t>
  </si>
  <si>
    <t xml:space="preserve">Latest release noted</t>
  </si>
  <si>
    <t xml:space="preserve">S17</t>
  </si>
  <si>
    <t xml:space="preserve">S-codes used in the Evidence columns. Sources marked mirror or secondary are not primary documents.</t>
  </si>
  <si>
    <t xml:space="preserve">Code</t>
  </si>
  <si>
    <t xml:space="preserve">Title</t>
  </si>
  <si>
    <t xml:space="preserve">URL</t>
  </si>
  <si>
    <t xml:space="preserve">Doug Lea, 'A Memory Allocator'</t>
  </si>
  <si>
    <t xml:space="preserve">https://gee.cs.oswego.edu/dl/html/malloc.html</t>
  </si>
  <si>
    <t xml:space="preserve">S2</t>
  </si>
  <si>
    <t xml:space="preserve">glibc malloc.c header (ptmalloc2 credits)</t>
  </si>
  <si>
    <t xml:space="preserve">https://gitverse.ru/githubmirror/glibc/tag/glibc-2.31/malloc/malloc.c</t>
  </si>
  <si>
    <t xml:space="preserve">S3</t>
  </si>
  <si>
    <t xml:space="preserve">Black Hat USA 2007, J. Ferguson, 'Understanding the heap by breaking it'</t>
  </si>
  <si>
    <t xml:space="preserve">https://www.blackhat.com/presentations/bh-usa-07/Ferguson/Presentation/bh-usa-07-ferguson.pdf</t>
  </si>
  <si>
    <t xml:space="preserve">Check Point Research, Safe-Linking (Eyal Itkin, 21 May 2020)</t>
  </si>
  <si>
    <t xml:space="preserve">https://research.checkpoint.com/2020/safe-linking-eliminating-a-20-year-old-malloc-exploit-primitive/</t>
  </si>
  <si>
    <t xml:space="preserve">S5</t>
  </si>
  <si>
    <t xml:space="preserve">glibc patch 'Add Safe-Linking to fastbins and tcache'</t>
  </si>
  <si>
    <t xml:space="preserve">https://git.centos.org/rpms/glibc/blob/c8/f/SOURCES/glibc-rh1871383-1.patch</t>
  </si>
  <si>
    <t xml:space="preserve">how2heap docs: glibc changelog (unofficial docs site)</t>
  </si>
  <si>
    <t xml:space="preserve">https://www.mintlify.com/shellphish/how2heap/glibc/changelog</t>
  </si>
  <si>
    <t xml:space="preserve">S7</t>
  </si>
  <si>
    <t xml:space="preserve">how2heap docs: techniques by glibc version</t>
  </si>
  <si>
    <t xml:space="preserve">https://www.mintlify.com/shellphish/how2heap/reference/by-glibc-version</t>
  </si>
  <si>
    <t xml:space="preserve">S8</t>
  </si>
  <si>
    <t xml:space="preserve">Linux man-pages: malloc_hook(3)</t>
  </si>
  <si>
    <t xml:space="preserve">https://man.archlinux.org/man/malloc_hook.3.en.raw</t>
  </si>
  <si>
    <t xml:space="preserve">Meta Engineering: renewed commitment to jemalloc (2 Mar 2026)</t>
  </si>
  <si>
    <t xml:space="preserve">https://engineering.fb.com/2026/03/02/data-infrastructure/investing-in-infrastructure-metas-renewed-commitment-to-jemalloc/</t>
  </si>
  <si>
    <t xml:space="preserve">jemalloc ChangeLog (5.3.1, 5.3.0)</t>
  </si>
  <si>
    <t xml:space="preserve">https://ftp.riken.jp/NetBSD/NetBSD-current/src/external/bsd/jemalloc/dist/ChangeLog</t>
  </si>
  <si>
    <t xml:space="preserve">S11</t>
  </si>
  <si>
    <t xml:space="preserve">Phoronix: jemalloc 5.3.1 released</t>
  </si>
  <si>
    <t xml:space="preserve">https://www.phoronix.com/news/jemalloc-5.3.1</t>
  </si>
  <si>
    <t xml:space="preserve">FreeBSD mailing list: jemalloc repository archived (Jun 2025)</t>
  </si>
  <si>
    <t xml:space="preserve">https://lists.freebsd.org/archives/cu/2025-June/007847.html</t>
  </si>
  <si>
    <t xml:space="preserve">Who even uses jemalloc in 2026 (theconsensus.dev)</t>
  </si>
  <si>
    <t xml:space="preserve">https://theconsensus.dev/p/2026/04/16/who-even-uses-jemalloc-anyway.html</t>
  </si>
  <si>
    <t xml:space="preserve">InfoQ: TCMalloc open source (Feb 2020)</t>
  </si>
  <si>
    <t xml:space="preserve">https://www.infoq.com/news/2020/02/google-tc-malloc-open-source</t>
  </si>
  <si>
    <t xml:space="preserve">S15</t>
  </si>
  <si>
    <t xml:space="preserve">TCMalloc design docs</t>
  </si>
  <si>
    <t xml:space="preserve">https://google.github.io/tcmalloc/design.html</t>
  </si>
  <si>
    <t xml:space="preserve">S16</t>
  </si>
  <si>
    <t xml:space="preserve">TCMalloc: Thread-Caching Malloc (Ghemawat, Menage)</t>
  </si>
  <si>
    <t xml:space="preserve">http://goog-perftools.sourceforge.net/doc/tcmalloc.html</t>
  </si>
  <si>
    <t xml:space="preserve">mimalloc README (microsoft/mimalloc)</t>
  </si>
  <si>
    <t xml:space="preserve">https://github.com/microsoft/mimalloc</t>
  </si>
  <si>
    <t xml:space="preserve">S18</t>
  </si>
  <si>
    <t xml:space="preserve">Wikipedia: mimalloc</t>
  </si>
  <si>
    <t xml:space="preserve">https://en.wikipedia.org/wiki/Mimalloc</t>
  </si>
  <si>
    <t xml:space="preserve">S19</t>
  </si>
  <si>
    <t xml:space="preserve">mimalloc technical report: Free List Sharding in Action (2019)</t>
  </si>
  <si>
    <t xml:space="preserve">https://www.microsoft.com/en-us/research/uploads/prod/2019/06/mimalloc-tr-v1.pdf</t>
  </si>
  <si>
    <t xml:space="preserve">LLVM docs: Scudo Hardened Allocator</t>
  </si>
  <si>
    <t xml:space="preserve">https://www.llvm.org/docs/ScudoHardenedAllocator.html</t>
  </si>
  <si>
    <t xml:space="preserve">S21</t>
  </si>
  <si>
    <t xml:space="preserve">LLVM DevMtg 2024: Why You Should Use Scudo</t>
  </si>
  <si>
    <t xml:space="preserve">https://www-new.llvm.org/devmtg/2024-10/slides/quicktalks/Duan-Ferris-WhyYouShouldUseScudo.pdf</t>
  </si>
  <si>
    <t xml:space="preserve">GrapheneOS hardened_malloc README</t>
  </si>
  <si>
    <t xml:space="preserve">https://github.com/GrapheneOS/hardened_malloc</t>
  </si>
  <si>
    <t xml:space="preserve">S23</t>
  </si>
  <si>
    <t xml:space="preserve">OpenBSD malloc.conf(5)</t>
  </si>
  <si>
    <t xml:space="preserve">https://man.openbsd.org/OpenBSD-6.2/malloc.conf.5</t>
  </si>
  <si>
    <t xml:space="preserve">isopenbsdsecu.re: OpenBSD userland heap management history</t>
  </si>
  <si>
    <t xml:space="preserve">https://isopenbsdsecu.re/mitigations/malloc/</t>
  </si>
  <si>
    <t xml:space="preserve">S25</t>
  </si>
  <si>
    <t xml:space="preserve">EuroBSDCon 2023, O. Moerbeek, 'How OpenBSD's malloc helps'</t>
  </si>
  <si>
    <t xml:space="preserve">https://ftplist1.openbsd.org/papers/eurobsdcon2023-otto-malloc.pdf</t>
  </si>
  <si>
    <t xml:space="preserve">musl 1.2.1 release announcement (mallocng), 4 Aug 2020</t>
  </si>
  <si>
    <t xml:space="preserve">https://openwall.com/lists/musl/2020/08/04/4</t>
  </si>
  <si>
    <t xml:space="preserve">Chromium: PartitionAlloc design</t>
  </si>
  <si>
    <t xml:space="preserve">https://chromium.googlesource.com/chromium/src/+/HEAD/base/allocator/partition_allocator/PartitionAlloc.md</t>
  </si>
  <si>
    <t xml:space="preserve">Apple libmalloc: xzone malloc design doc</t>
  </si>
  <si>
    <t xml:space="preserve">https://cs.iossec.tech/libmalloc/latest/source/doc/xzone_malloc.md</t>
  </si>
  <si>
    <t xml:space="preserve">Apple Security Engineering: Memory Integrity Enforcement</t>
  </si>
  <si>
    <t xml:space="preserve">https://security.apple.com/blog/memory-integrity-enforcement/</t>
  </si>
  <si>
    <t xml:space="preserve">M. Yason, Windows 10 Segment Heap Internals (Black Hat USA 2016)</t>
  </si>
  <si>
    <t xml:space="preserve">https://www.blackhat.com/docs/us-16/materials/us-16-Yason-Windows-10-Segment-Heap-Internals-wp.pdf</t>
  </si>
  <si>
    <t xml:space="preserve">MSRC: Preventing the exploitation of user mode heap corruption vulnerabilities (2009)</t>
  </si>
  <si>
    <t xml:space="preserve">https://msrc.microsoft.com/blog/2009/08/preventing-the-exploitation-of-user-mode-heap-corruption-vulnerabilities</t>
  </si>
  <si>
    <t xml:space="preserve">S32</t>
  </si>
  <si>
    <t xml:space="preserve">MSRC: Software defense, mitigating heap corruption vulnerabilities (2013)</t>
  </si>
  <si>
    <t xml:space="preserve">https://msrc.microsoft.com/blog/2013/10/software-defense-mitigating-heap-corruption-vulnerabilities</t>
  </si>
  <si>
    <t xml:space="preserve">Black Hat USA 2010: Understanding the Low-Fragmentation Heap</t>
  </si>
  <si>
    <t xml:space="preserve">https://infocondb.org/con/black-hat/black-hat-usa-2010/understanding-the-low-fragmentation-heap-from-allocation-to-exploitation</t>
  </si>
  <si>
    <t xml:space="preserve">LSE blog: Getting back determinism in the LFH (2014)</t>
  </si>
  <si>
    <t xml:space="preserve">https://blog.lse.epita.fr/2014/11/02/getting-back-determinism-in-the-lfh.html</t>
  </si>
  <si>
    <t xml:space="preserve">snmalloc: A Message Passing Allocator (paper)</t>
  </si>
  <si>
    <t xml:space="preserve">https://www.microsoft.com/en-us/research/uploads/prod/2020/04/snmalloc.pdf</t>
  </si>
  <si>
    <t xml:space="preserve">ISMM 2019 session listing for snmalloc</t>
  </si>
  <si>
    <t xml:space="preserve">https://conf.researchr.org/details/ismm-2019/ismm-2019-papers/3/snmalloc-A-Message-Passing-Allocator</t>
  </si>
  <si>
    <t xml:space="preserve">Qualys: CVE-2021-3156 Baron Samedit</t>
  </si>
  <si>
    <t xml:space="preserve">https://blog.qualys.com/vulnerabilities-threat-research/2021/01/26/cve-2021-3156-heap-based-buffer-overflow-in-sudo-baron-samedit</t>
  </si>
  <si>
    <t xml:space="preserve">S38</t>
  </si>
  <si>
    <t xml:space="preserve">LWN: A major vulnerability in Sudo</t>
  </si>
  <si>
    <t xml:space="preserve">https://lwn.net/Articles/844789</t>
  </si>
  <si>
    <t xml:space="preserve">S39</t>
  </si>
  <si>
    <t xml:space="preserve">GCVE record for CVE-2021-3156</t>
  </si>
  <si>
    <t xml:space="preserve">https://db.gcve.eu/vuln/cve-2021-3156</t>
  </si>
  <si>
    <t xml:space="preserve">MITRE CWE-122: Heap-based Buffer Overflow</t>
  </si>
  <si>
    <t xml:space="preserve">https://cwe.mitre.org/data/definitions/122</t>
  </si>
  <si>
    <t xml:space="preserve">MITRE CAPEC-92: Forced Integer Overflow</t>
  </si>
  <si>
    <t xml:space="preserve">https://capec.mitre.org/data/definitions/92</t>
  </si>
  <si>
    <t xml:space="preserve">Kaspersky threat page showing MITRE names for T1203 and T1068</t>
  </si>
  <si>
    <t xml:space="preserve">https://threats.kaspersky.com/en/threat/Trojan.Win32.Crypt.amwb</t>
  </si>
  <si>
    <t xml:space="preserve">ATT&amp;CK technique listing (T1190, T1210, T1212)</t>
  </si>
  <si>
    <t xml:space="preserve">https://cipherssecurity.com/attack/</t>
  </si>
  <si>
    <t xml:space="preserve">CAPEC-100: Overflow Buffers (mirror)</t>
  </si>
  <si>
    <t xml:space="preserve">https://cvefeed.io/capec/detail/capec-100-overflow-buffers</t>
  </si>
  <si>
    <t xml:space="preserve">CWE-680 and related CAPEC list (mirror)</t>
  </si>
  <si>
    <t xml:space="preserve">https://vulnerabilities.etecs.ru/cwe/CWE-680?lang=en</t>
  </si>
  <si>
    <t xml:space="preserve">S46</t>
  </si>
  <si>
    <t xml:space="preserve">FreeGuard: A Faster Secure Heap Allocator (OpenBSD design summary)</t>
  </si>
  <si>
    <t xml:space="preserve">https://arxiv.org/pdf/1709.02746</t>
  </si>
  <si>
    <t xml:space="preserve">S47</t>
  </si>
  <si>
    <t xml:space="preserve">Windows Latest: Segment Heap status for Chrome (2020)</t>
  </si>
  <si>
    <t xml:space="preserve">https://windowslatest.com/2020/09/14/status-of-chrome-segment-heap-for-windows-10</t>
  </si>
  <si>
    <t xml:space="preserve">S48</t>
  </si>
  <si>
    <t xml:space="preserve">GrapheneOS feature list copy (mentions Whonix adoption)</t>
  </si>
  <si>
    <t xml:space="preserve">https://hup.hu/node/174997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</si>
</sst>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F99"/>
      </patternFill>
    </fill>
    <fill>
      <patternFill patternType="solid">
        <fgColor rgb="FFFFC7CE"/>
        <bgColor rgb="FFFCE4D6"/>
      </patternFill>
    </fill>
    <fill>
      <patternFill patternType="solid">
        <fgColor rgb="FFD9D9D9"/>
        <bgColor rgb="FFE4DFEC"/>
      </patternFill>
    </fill>
    <fill>
      <patternFill patternType="solid">
        <fgColor rgb="FFE2EFDA"/>
        <bgColor rgb="FFDDEBF7"/>
      </patternFill>
    </fill>
    <fill>
      <patternFill patternType="solid">
        <fgColor rgb="FFE4DFEC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F99"/>
        <bgColor rgb="FFFFEB9C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E4DFEC"/>
      <rgbColor rgb="FFFCE4D6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548235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emory_allocators_comparison.xlsx" TargetMode="External"/><Relationship Id="rId2" Type="http://schemas.openxmlformats.org/officeDocument/2006/relationships/hyperlink" Target="memory_allocators_comparison.xlsx" TargetMode="External"/><Relationship Id="rId3" Type="http://schemas.openxmlformats.org/officeDocument/2006/relationships/hyperlink" Target="memory_allocators_comparison.xlsx" TargetMode="External"/><Relationship Id="rId4" Type="http://schemas.openxmlformats.org/officeDocument/2006/relationships/hyperlink" Target="memory_allocators_comparison.xlsx" TargetMode="External"/><Relationship Id="rId5" Type="http://schemas.openxmlformats.org/officeDocument/2006/relationships/hyperlink" Target="memory_allocators_comparison.xlsx" TargetMode="External"/><Relationship Id="rId6" Type="http://schemas.openxmlformats.org/officeDocument/2006/relationships/hyperlink" Target="memory_allocators_comparison.xlsx" TargetMode="External"/><Relationship Id="rId7" Type="http://schemas.openxmlformats.org/officeDocument/2006/relationships/hyperlink" Target="memory_allocators_comparison.xlsx" TargetMode="External"/><Relationship Id="rId8" Type="http://schemas.openxmlformats.org/officeDocument/2006/relationships/hyperlink" Target="memory_allocators_comparison.xlsx" TargetMode="External"/><Relationship Id="rId9" Type="http://schemas.openxmlformats.org/officeDocument/2006/relationships/hyperlink" Target="memory_allocators_comparison.xlsx" TargetMode="External"/><Relationship Id="rId10" Type="http://schemas.openxmlformats.org/officeDocument/2006/relationships/hyperlink" Target="memory_allocators_comparison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gee.cs.oswego.edu/dl/html/malloc.html" TargetMode="External"/><Relationship Id="rId2" Type="http://schemas.openxmlformats.org/officeDocument/2006/relationships/hyperlink" Target="https://gitverse.ru/githubmirror/glibc/tag/glibc-2.31/malloc/malloc.c" TargetMode="External"/><Relationship Id="rId3" Type="http://schemas.openxmlformats.org/officeDocument/2006/relationships/hyperlink" Target="https://www.blackhat.com/presentations/bh-usa-07/Ferguson/Presentation/bh-usa-07-ferguson.pdf" TargetMode="External"/><Relationship Id="rId4" Type="http://schemas.openxmlformats.org/officeDocument/2006/relationships/hyperlink" Target="https://research.checkpoint.com/2020/safe-linking-eliminating-a-20-year-old-malloc-exploit-primitive/" TargetMode="External"/><Relationship Id="rId5" Type="http://schemas.openxmlformats.org/officeDocument/2006/relationships/hyperlink" Target="https://git.centos.org/rpms/glibc/blob/c8/f/SOURCES/glibc-rh1871383-1.patch" TargetMode="External"/><Relationship Id="rId6" Type="http://schemas.openxmlformats.org/officeDocument/2006/relationships/hyperlink" Target="https://www.mintlify.com/shellphish/how2heap/glibc/changelog" TargetMode="External"/><Relationship Id="rId7" Type="http://schemas.openxmlformats.org/officeDocument/2006/relationships/hyperlink" Target="https://www.mintlify.com/shellphish/how2heap/reference/by-glibc-version" TargetMode="External"/><Relationship Id="rId8" Type="http://schemas.openxmlformats.org/officeDocument/2006/relationships/hyperlink" Target="https://man.archlinux.org/man/malloc_hook.3.en.raw" TargetMode="External"/><Relationship Id="rId9" Type="http://schemas.openxmlformats.org/officeDocument/2006/relationships/hyperlink" Target="https://engineering.fb.com/2026/03/02/data-infrastructure/investing-in-infrastructure-metas-renewed-commitment-to-jemalloc/" TargetMode="External"/><Relationship Id="rId10" Type="http://schemas.openxmlformats.org/officeDocument/2006/relationships/hyperlink" Target="https://ftp.riken.jp/NetBSD/NetBSD-current/src/external/bsd/jemalloc/dist/ChangeLog" TargetMode="External"/><Relationship Id="rId11" Type="http://schemas.openxmlformats.org/officeDocument/2006/relationships/hyperlink" Target="https://www.phoronix.com/news/jemalloc-5.3.1" TargetMode="External"/><Relationship Id="rId12" Type="http://schemas.openxmlformats.org/officeDocument/2006/relationships/hyperlink" Target="https://lists.freebsd.org/archives/cu/2025-June/007847.html" TargetMode="External"/><Relationship Id="rId13" Type="http://schemas.openxmlformats.org/officeDocument/2006/relationships/hyperlink" Target="https://theconsensus.dev/p/2026/04/16/who-even-uses-jemalloc-anyway.html" TargetMode="External"/><Relationship Id="rId14" Type="http://schemas.openxmlformats.org/officeDocument/2006/relationships/hyperlink" Target="https://www.infoq.com/news/2020/02/google-tc-malloc-open-source" TargetMode="External"/><Relationship Id="rId15" Type="http://schemas.openxmlformats.org/officeDocument/2006/relationships/hyperlink" Target="https://google.github.io/tcmalloc/design.html" TargetMode="External"/><Relationship Id="rId16" Type="http://schemas.openxmlformats.org/officeDocument/2006/relationships/hyperlink" Target="http://goog-perftools.sourceforge.net/doc/tcmalloc.html" TargetMode="External"/><Relationship Id="rId17" Type="http://schemas.openxmlformats.org/officeDocument/2006/relationships/hyperlink" Target="https://github.com/microsoft/mimalloc" TargetMode="External"/><Relationship Id="rId18" Type="http://schemas.openxmlformats.org/officeDocument/2006/relationships/hyperlink" Target="https://en.wikipedia.org/wiki/Mimalloc" TargetMode="External"/><Relationship Id="rId19" Type="http://schemas.openxmlformats.org/officeDocument/2006/relationships/hyperlink" Target="https://www.microsoft.com/en-us/research/uploads/prod/2019/06/mimalloc-tr-v1.pdf" TargetMode="External"/><Relationship Id="rId20" Type="http://schemas.openxmlformats.org/officeDocument/2006/relationships/hyperlink" Target="https://www.llvm.org/docs/ScudoHardenedAllocator.html" TargetMode="External"/><Relationship Id="rId21" Type="http://schemas.openxmlformats.org/officeDocument/2006/relationships/hyperlink" Target="https://www-new.llvm.org/devmtg/2024-10/slides/quicktalks/Duan-Ferris-WhyYouShouldUseScudo.pdf" TargetMode="External"/><Relationship Id="rId22" Type="http://schemas.openxmlformats.org/officeDocument/2006/relationships/hyperlink" Target="https://github.com/GrapheneOS/hardened_malloc" TargetMode="External"/><Relationship Id="rId23" Type="http://schemas.openxmlformats.org/officeDocument/2006/relationships/hyperlink" Target="https://man.openbsd.org/OpenBSD-6.2/malloc.conf.5" TargetMode="External"/><Relationship Id="rId24" Type="http://schemas.openxmlformats.org/officeDocument/2006/relationships/hyperlink" Target="https://isopenbsdsecu.re/mitigations/malloc/" TargetMode="External"/><Relationship Id="rId25" Type="http://schemas.openxmlformats.org/officeDocument/2006/relationships/hyperlink" Target="https://ftplist1.openbsd.org/papers/eurobsdcon2023-otto-malloc.pdf" TargetMode="External"/><Relationship Id="rId26" Type="http://schemas.openxmlformats.org/officeDocument/2006/relationships/hyperlink" Target="https://openwall.com/lists/musl/2020/08/04/4" TargetMode="External"/><Relationship Id="rId27" Type="http://schemas.openxmlformats.org/officeDocument/2006/relationships/hyperlink" Target="https://chromium.googlesource.com/chromium/src/+/HEAD/base/allocator/partition_allocator/PartitionAlloc.md" TargetMode="External"/><Relationship Id="rId28" Type="http://schemas.openxmlformats.org/officeDocument/2006/relationships/hyperlink" Target="https://cs.iossec.tech/libmalloc/latest/source/doc/xzone_malloc.md" TargetMode="External"/><Relationship Id="rId29" Type="http://schemas.openxmlformats.org/officeDocument/2006/relationships/hyperlink" Target="https://security.apple.com/blog/memory-integrity-enforcement/" TargetMode="External"/><Relationship Id="rId30" Type="http://schemas.openxmlformats.org/officeDocument/2006/relationships/hyperlink" Target="https://www.blackhat.com/docs/us-16/materials/us-16-Yason-Windows-10-Segment-Heap-Internals-wp.pdf" TargetMode="External"/><Relationship Id="rId31" Type="http://schemas.openxmlformats.org/officeDocument/2006/relationships/hyperlink" Target="https://msrc.microsoft.com/blog/2009/08/preventing-the-exploitation-of-user-mode-heap-corruption-vulnerabilities" TargetMode="External"/><Relationship Id="rId32" Type="http://schemas.openxmlformats.org/officeDocument/2006/relationships/hyperlink" Target="https://msrc.microsoft.com/blog/2013/10/software-defense-mitigating-heap-corruption-vulnerabilities" TargetMode="External"/><Relationship Id="rId33" Type="http://schemas.openxmlformats.org/officeDocument/2006/relationships/hyperlink" Target="https://infocondb.org/con/black-hat/black-hat-usa-2010/understanding-the-low-fragmentation-heap-from-allocation-to-exploitation" TargetMode="External"/><Relationship Id="rId34" Type="http://schemas.openxmlformats.org/officeDocument/2006/relationships/hyperlink" Target="https://blog.lse.epita.fr/2014/11/02/getting-back-determinism-in-the-lfh.html" TargetMode="External"/><Relationship Id="rId35" Type="http://schemas.openxmlformats.org/officeDocument/2006/relationships/hyperlink" Target="https://www.microsoft.com/en-us/research/uploads/prod/2020/04/snmalloc.pdf" TargetMode="External"/><Relationship Id="rId36" Type="http://schemas.openxmlformats.org/officeDocument/2006/relationships/hyperlink" Target="https://conf.researchr.org/details/ismm-2019/ismm-2019-papers/3/snmalloc-A-Message-Passing-Allocator" TargetMode="External"/><Relationship Id="rId37" Type="http://schemas.openxmlformats.org/officeDocument/2006/relationships/hyperlink" Target="https://blog.qualys.com/vulnerabilities-threat-research/2021/01/26/cve-2021-3156-heap-based-buffer-overflow-in-sudo-baron-samedit" TargetMode="External"/><Relationship Id="rId38" Type="http://schemas.openxmlformats.org/officeDocument/2006/relationships/hyperlink" Target="https://lwn.net/Articles/844789" TargetMode="External"/><Relationship Id="rId39" Type="http://schemas.openxmlformats.org/officeDocument/2006/relationships/hyperlink" Target="https://db.gcve.eu/vuln/cve-2021-3156" TargetMode="External"/><Relationship Id="rId40" Type="http://schemas.openxmlformats.org/officeDocument/2006/relationships/hyperlink" Target="https://cwe.mitre.org/data/definitions/122" TargetMode="External"/><Relationship Id="rId41" Type="http://schemas.openxmlformats.org/officeDocument/2006/relationships/hyperlink" Target="https://capec.mitre.org/data/definitions/92" TargetMode="External"/><Relationship Id="rId42" Type="http://schemas.openxmlformats.org/officeDocument/2006/relationships/hyperlink" Target="https://threats.kaspersky.com/en/threat/Trojan.Win32.Crypt.amwb" TargetMode="External"/><Relationship Id="rId43" Type="http://schemas.openxmlformats.org/officeDocument/2006/relationships/hyperlink" Target="https://cipherssecurity.com/attack/" TargetMode="External"/><Relationship Id="rId44" Type="http://schemas.openxmlformats.org/officeDocument/2006/relationships/hyperlink" Target="https://cvefeed.io/capec/detail/capec-100-overflow-buffers" TargetMode="External"/><Relationship Id="rId45" Type="http://schemas.openxmlformats.org/officeDocument/2006/relationships/hyperlink" Target="https://vulnerabilities.etecs.ru/cwe/CWE-680?lang=en" TargetMode="External"/><Relationship Id="rId46" Type="http://schemas.openxmlformats.org/officeDocument/2006/relationships/hyperlink" Target="https://arxiv.org/pdf/1709.02746" TargetMode="External"/><Relationship Id="rId47" Type="http://schemas.openxmlformats.org/officeDocument/2006/relationships/hyperlink" Target="https://windowslatest.com/2020/09/14/status-of-chrome-segment-heap-for-windows-10" TargetMode="External"/><Relationship Id="rId48" Type="http://schemas.openxmlformats.org/officeDocument/2006/relationships/hyperlink" Target="https://hup.hu/node/17499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27.75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1.5" hidden="false" customHeight="true" outlineLevel="0" collapsed="false">
      <c r="B5" s="4" t="s">
        <v>3</v>
      </c>
      <c r="C5" s="5" t="s">
        <v>4</v>
      </c>
    </row>
    <row r="6" customFormat="false" ht="31.5" hidden="false" customHeight="true" outlineLevel="0" collapsed="false">
      <c r="B6" s="4" t="s">
        <v>5</v>
      </c>
      <c r="C6" s="5" t="s">
        <v>6</v>
      </c>
    </row>
    <row r="7" customFormat="false" ht="31.5" hidden="false" customHeight="true" outlineLevel="0" collapsed="false">
      <c r="B7" s="4" t="s">
        <v>7</v>
      </c>
      <c r="C7" s="5" t="s">
        <v>8</v>
      </c>
    </row>
    <row r="8" customFormat="false" ht="31.5" hidden="false" customHeight="true" outlineLevel="0" collapsed="false">
      <c r="B8" s="4" t="s">
        <v>9</v>
      </c>
      <c r="C8" s="5" t="s">
        <v>10</v>
      </c>
    </row>
    <row r="9" customFormat="false" ht="31.5" hidden="false" customHeight="true" outlineLevel="0" collapsed="false">
      <c r="B9" s="4" t="s">
        <v>11</v>
      </c>
      <c r="C9" s="5" t="s">
        <v>12</v>
      </c>
    </row>
    <row r="11" customFormat="false" ht="15" hidden="false" customHeight="false" outlineLevel="0" collapsed="false">
      <c r="B11" s="3" t="s">
        <v>13</v>
      </c>
    </row>
    <row r="12" customFormat="false" ht="19.5" hidden="false" customHeight="true" outlineLevel="0" collapsed="false">
      <c r="B12" s="6" t="s">
        <v>14</v>
      </c>
      <c r="C12" s="5" t="s">
        <v>15</v>
      </c>
    </row>
    <row r="13" customFormat="false" ht="19.5" hidden="false" customHeight="true" outlineLevel="0" collapsed="false">
      <c r="B13" s="6" t="s">
        <v>16</v>
      </c>
      <c r="C13" s="5" t="s">
        <v>17</v>
      </c>
    </row>
    <row r="14" customFormat="false" ht="19.5" hidden="false" customHeight="true" outlineLevel="0" collapsed="false">
      <c r="B14" s="6" t="s">
        <v>18</v>
      </c>
      <c r="C14" s="5" t="s">
        <v>19</v>
      </c>
    </row>
    <row r="15" customFormat="false" ht="19.5" hidden="false" customHeight="true" outlineLevel="0" collapsed="false">
      <c r="B15" s="6" t="s">
        <v>20</v>
      </c>
      <c r="C15" s="5" t="s">
        <v>21</v>
      </c>
    </row>
    <row r="16" customFormat="false" ht="19.5" hidden="false" customHeight="true" outlineLevel="0" collapsed="false">
      <c r="B16" s="6" t="s">
        <v>22</v>
      </c>
      <c r="C16" s="5" t="s">
        <v>23</v>
      </c>
    </row>
    <row r="17" customFormat="false" ht="19.5" hidden="false" customHeight="true" outlineLevel="0" collapsed="false">
      <c r="B17" s="6" t="s">
        <v>24</v>
      </c>
      <c r="C17" s="5" t="s">
        <v>25</v>
      </c>
    </row>
    <row r="18" customFormat="false" ht="19.5" hidden="false" customHeight="true" outlineLevel="0" collapsed="false">
      <c r="B18" s="6" t="s">
        <v>26</v>
      </c>
      <c r="C18" s="5" t="s">
        <v>27</v>
      </c>
    </row>
    <row r="19" customFormat="false" ht="19.5" hidden="false" customHeight="true" outlineLevel="0" collapsed="false">
      <c r="B19" s="6" t="s">
        <v>28</v>
      </c>
      <c r="C19" s="5" t="s">
        <v>29</v>
      </c>
    </row>
    <row r="20" customFormat="false" ht="19.5" hidden="false" customHeight="true" outlineLevel="0" collapsed="false">
      <c r="B20" s="6" t="s">
        <v>30</v>
      </c>
      <c r="C20" s="5" t="s">
        <v>31</v>
      </c>
    </row>
    <row r="21" customFormat="false" ht="19.5" hidden="false" customHeight="true" outlineLevel="0" collapsed="false">
      <c r="B21" s="6" t="s">
        <v>32</v>
      </c>
      <c r="C21" s="5" t="s">
        <v>33</v>
      </c>
    </row>
    <row r="23" customFormat="false" ht="15" hidden="false" customHeight="false" outlineLevel="0" collapsed="false">
      <c r="B23" s="3" t="s">
        <v>34</v>
      </c>
    </row>
    <row r="24" customFormat="false" ht="19.5" hidden="false" customHeight="true" outlineLevel="0" collapsed="false">
      <c r="B24" s="7" t="s">
        <v>35</v>
      </c>
      <c r="C24" s="5" t="s">
        <v>36</v>
      </c>
    </row>
    <row r="25" customFormat="false" ht="19.5" hidden="false" customHeight="true" outlineLevel="0" collapsed="false">
      <c r="B25" s="8" t="s">
        <v>37</v>
      </c>
      <c r="C25" s="5" t="s">
        <v>38</v>
      </c>
    </row>
    <row r="26" customFormat="false" ht="19.5" hidden="false" customHeight="true" outlineLevel="0" collapsed="false">
      <c r="B26" s="9" t="s">
        <v>39</v>
      </c>
      <c r="C26" s="5" t="s">
        <v>40</v>
      </c>
    </row>
    <row r="27" customFormat="false" ht="19.5" hidden="false" customHeight="true" outlineLevel="0" collapsed="false">
      <c r="B27" s="10" t="s">
        <v>41</v>
      </c>
      <c r="C27" s="5" t="s">
        <v>42</v>
      </c>
    </row>
    <row r="28" customFormat="false" ht="19.5" hidden="false" customHeight="true" outlineLevel="0" collapsed="false">
      <c r="B28" s="4" t="s">
        <v>43</v>
      </c>
      <c r="C28" s="5" t="s">
        <v>44</v>
      </c>
    </row>
    <row r="29" customFormat="false" ht="19.5" hidden="false" customHeight="true" outlineLevel="0" collapsed="false">
      <c r="B29" s="11" t="s">
        <v>45</v>
      </c>
      <c r="C29" s="5" t="s">
        <v>46</v>
      </c>
    </row>
    <row r="30" customFormat="false" ht="19.5" hidden="false" customHeight="true" outlineLevel="0" collapsed="false">
      <c r="B30" s="12" t="s">
        <v>47</v>
      </c>
      <c r="C30" s="5" t="s">
        <v>48</v>
      </c>
    </row>
    <row r="32" customFormat="false" ht="15" hidden="false" customHeight="false" outlineLevel="0" collapsed="false">
      <c r="B32" s="3" t="s">
        <v>49</v>
      </c>
    </row>
    <row r="33" customFormat="false" ht="30" hidden="false" customHeight="true" outlineLevel="0" collapsed="false">
      <c r="B33" s="13" t="s">
        <v>50</v>
      </c>
      <c r="C33" s="13"/>
    </row>
    <row r="34" customFormat="false" ht="30" hidden="false" customHeight="true" outlineLevel="0" collapsed="false">
      <c r="B34" s="13" t="s">
        <v>51</v>
      </c>
      <c r="C34" s="13"/>
    </row>
    <row r="35" customFormat="false" ht="30" hidden="false" customHeight="true" outlineLevel="0" collapsed="false">
      <c r="B35" s="13" t="s">
        <v>52</v>
      </c>
      <c r="C35" s="13"/>
    </row>
    <row r="36" customFormat="false" ht="30" hidden="false" customHeight="true" outlineLevel="0" collapsed="false">
      <c r="B36" s="13" t="s">
        <v>53</v>
      </c>
      <c r="C36" s="13"/>
    </row>
  </sheetData>
  <mergeCells count="4">
    <mergeCell ref="B33:C33"/>
    <mergeCell ref="B34:C34"/>
    <mergeCell ref="B35:C35"/>
    <mergeCell ref="B36:C36"/>
  </mergeCells>
  <hyperlinks>
    <hyperlink ref="B12" r:id="rId1" location="'Types'!A1" display="Types"/>
    <hyperlink ref="B13" r:id="rId2" location="'Allocators'!A1" display="Allocators"/>
    <hyperlink ref="B14" r:id="rId3" location="'Design%20Comparison'!A1" display="Design Comparison"/>
    <hyperlink ref="B15" r:id="rId4" location="'Security%20Matrix'!A1" display="Security Matrix"/>
    <hyperlink ref="B16" r:id="rId5" location="'Exposure'!A1" display="Exposure"/>
    <hyperlink ref="B17" r:id="rId6" location="'Attacks%20&amp;%20TTPs'!A1" display="Attacks &amp; TTPs"/>
    <hyperlink ref="B18" r:id="rId7" location="'MITRE%20Map'!A1" display="MITRE Map"/>
    <hyperlink ref="B19" r:id="rId8" location="'Cases'!A1" display="Cases"/>
    <hyperlink ref="B20" r:id="rId9" location="'History'!A1" display="History"/>
    <hyperlink ref="B21" r:id="rId10" location="'Sources'!A1" display="Sources"/>
  </hyperlink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5" min="5" style="0" width="32"/>
    <col collapsed="false" customWidth="true" hidden="false" outlineLevel="0" max="6" min="6" style="0" width="36"/>
  </cols>
  <sheetData>
    <row r="1" customFormat="false" ht="24" hidden="false" customHeight="true" outlineLevel="0" collapsed="false">
      <c r="A1" s="14" t="s">
        <v>54</v>
      </c>
    </row>
    <row r="2" customFormat="false" ht="15" hidden="false" customHeight="false" outlineLevel="0" collapsed="false">
      <c r="A2" s="2" t="s">
        <v>55</v>
      </c>
    </row>
    <row r="4" customFormat="false" ht="31.5" hidden="false" customHeight="true" outlineLevel="0" collapsed="false">
      <c r="A4" s="15" t="s">
        <v>56</v>
      </c>
      <c r="B4" s="15" t="s">
        <v>57</v>
      </c>
      <c r="C4" s="15" t="s">
        <v>58</v>
      </c>
      <c r="D4" s="15" t="s">
        <v>59</v>
      </c>
      <c r="E4" s="15" t="s">
        <v>60</v>
      </c>
      <c r="F4" s="15" t="s">
        <v>61</v>
      </c>
    </row>
    <row r="5" customFormat="false" ht="57.75" hidden="false" customHeight="true" outlineLevel="0" collapsed="false">
      <c r="A5" s="16" t="s">
        <v>62</v>
      </c>
      <c r="B5" s="5" t="s">
        <v>63</v>
      </c>
      <c r="C5" s="5" t="s">
        <v>64</v>
      </c>
      <c r="D5" s="5" t="s">
        <v>65</v>
      </c>
      <c r="E5" s="5" t="s">
        <v>66</v>
      </c>
      <c r="F5" s="5" t="s">
        <v>67</v>
      </c>
    </row>
    <row r="6" customFormat="false" ht="45" hidden="false" customHeight="true" outlineLevel="0" collapsed="false">
      <c r="A6" s="17" t="s">
        <v>68</v>
      </c>
      <c r="B6" s="18" t="s">
        <v>69</v>
      </c>
      <c r="C6" s="18" t="s">
        <v>70</v>
      </c>
      <c r="D6" s="18" t="s">
        <v>71</v>
      </c>
      <c r="E6" s="18" t="s">
        <v>72</v>
      </c>
      <c r="F6" s="18" t="s">
        <v>73</v>
      </c>
    </row>
    <row r="7" customFormat="false" ht="45" hidden="false" customHeight="true" outlineLevel="0" collapsed="false">
      <c r="A7" s="16" t="s">
        <v>74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</row>
    <row r="8" customFormat="false" ht="45" hidden="false" customHeight="true" outlineLevel="0" collapsed="false">
      <c r="A8" s="17" t="s">
        <v>80</v>
      </c>
      <c r="B8" s="18" t="s">
        <v>81</v>
      </c>
      <c r="C8" s="18" t="s">
        <v>82</v>
      </c>
      <c r="D8" s="18" t="s">
        <v>83</v>
      </c>
      <c r="E8" s="18" t="s">
        <v>84</v>
      </c>
      <c r="F8" s="18" t="s">
        <v>85</v>
      </c>
    </row>
    <row r="9" customFormat="false" ht="45" hidden="false" customHeight="true" outlineLevel="0" collapsed="false">
      <c r="A9" s="16" t="s">
        <v>86</v>
      </c>
      <c r="B9" s="5" t="s">
        <v>87</v>
      </c>
      <c r="C9" s="5" t="s">
        <v>88</v>
      </c>
      <c r="D9" s="5" t="s">
        <v>89</v>
      </c>
      <c r="E9" s="5" t="s">
        <v>90</v>
      </c>
      <c r="F9" s="5" t="s">
        <v>91</v>
      </c>
    </row>
    <row r="10" customFormat="false" ht="31.5" hidden="false" customHeight="true" outlineLevel="0" collapsed="false">
      <c r="A10" s="17" t="s">
        <v>92</v>
      </c>
      <c r="B10" s="18" t="s">
        <v>93</v>
      </c>
      <c r="C10" s="18" t="s">
        <v>94</v>
      </c>
      <c r="D10" s="18" t="s">
        <v>95</v>
      </c>
      <c r="E10" s="18" t="s">
        <v>96</v>
      </c>
      <c r="F10" s="18" t="s">
        <v>97</v>
      </c>
    </row>
    <row r="11" customFormat="false" ht="45" hidden="false" customHeight="true" outlineLevel="0" collapsed="false">
      <c r="A11" s="16" t="s">
        <v>98</v>
      </c>
      <c r="B11" s="5" t="s">
        <v>99</v>
      </c>
      <c r="C11" s="5" t="s">
        <v>100</v>
      </c>
      <c r="D11" s="5" t="s">
        <v>101</v>
      </c>
      <c r="E11" s="5" t="s">
        <v>102</v>
      </c>
      <c r="F11" s="5" t="s">
        <v>103</v>
      </c>
    </row>
    <row r="12" customFormat="false" ht="45" hidden="false" customHeight="true" outlineLevel="0" collapsed="false">
      <c r="A12" s="17" t="s">
        <v>104</v>
      </c>
      <c r="B12" s="18" t="s">
        <v>105</v>
      </c>
      <c r="C12" s="18" t="s">
        <v>106</v>
      </c>
      <c r="D12" s="18" t="s">
        <v>107</v>
      </c>
      <c r="E12" s="18" t="s">
        <v>108</v>
      </c>
      <c r="F12" s="18" t="s">
        <v>109</v>
      </c>
    </row>
    <row r="13" customFormat="false" ht="57.75" hidden="false" customHeight="true" outlineLevel="0" collapsed="false">
      <c r="A13" s="16" t="s">
        <v>110</v>
      </c>
      <c r="B13" s="5" t="s">
        <v>111</v>
      </c>
      <c r="C13" s="5" t="s">
        <v>112</v>
      </c>
      <c r="D13" s="5" t="s">
        <v>113</v>
      </c>
      <c r="E13" s="5" t="s">
        <v>114</v>
      </c>
      <c r="F13" s="5" t="s">
        <v>115</v>
      </c>
    </row>
  </sheetData>
  <autoFilter ref="A4:F13"/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7" min="6" style="0" width="28"/>
    <col collapsed="false" customWidth="true" hidden="false" outlineLevel="0" max="8" min="8" style="0" width="36"/>
    <col collapsed="false" customWidth="true" hidden="false" outlineLevel="0" max="9" min="9" style="0" width="34"/>
    <col collapsed="false" customWidth="true" hidden="false" outlineLevel="0" max="10" min="10" style="0" width="48"/>
    <col collapsed="false" customWidth="true" hidden="false" outlineLevel="0" max="11" min="11" style="0" width="14"/>
  </cols>
  <sheetData>
    <row r="1" customFormat="false" ht="24" hidden="false" customHeight="true" outlineLevel="0" collapsed="false">
      <c r="A1" s="14" t="s">
        <v>116</v>
      </c>
    </row>
    <row r="2" customFormat="false" ht="15" hidden="false" customHeight="false" outlineLevel="0" collapsed="false">
      <c r="A2" s="2" t="s">
        <v>117</v>
      </c>
    </row>
    <row r="4" customFormat="false" ht="31.5" hidden="false" customHeight="true" outlineLevel="0" collapsed="false">
      <c r="A4" s="15" t="s">
        <v>118</v>
      </c>
      <c r="B4" s="15" t="s">
        <v>119</v>
      </c>
      <c r="C4" s="15" t="s">
        <v>120</v>
      </c>
      <c r="D4" s="15" t="s">
        <v>121</v>
      </c>
      <c r="E4" s="15" t="s">
        <v>122</v>
      </c>
      <c r="F4" s="15" t="s">
        <v>123</v>
      </c>
      <c r="G4" s="15" t="s">
        <v>124</v>
      </c>
      <c r="H4" s="15" t="s">
        <v>125</v>
      </c>
      <c r="I4" s="15" t="s">
        <v>126</v>
      </c>
      <c r="J4" s="15" t="s">
        <v>127</v>
      </c>
      <c r="K4" s="15" t="s">
        <v>128</v>
      </c>
    </row>
    <row r="5" customFormat="false" ht="57.75" hidden="false" customHeight="true" outlineLevel="0" collapsed="false">
      <c r="A5" s="19" t="s">
        <v>129</v>
      </c>
      <c r="B5" s="4" t="s">
        <v>130</v>
      </c>
      <c r="C5" s="5" t="s">
        <v>131</v>
      </c>
      <c r="D5" s="5" t="s">
        <v>132</v>
      </c>
      <c r="E5" s="5" t="s">
        <v>133</v>
      </c>
      <c r="F5" s="5" t="s">
        <v>134</v>
      </c>
      <c r="G5" s="5" t="s">
        <v>135</v>
      </c>
      <c r="H5" s="5" t="s">
        <v>136</v>
      </c>
      <c r="I5" s="5" t="s">
        <v>137</v>
      </c>
      <c r="J5" s="5" t="s">
        <v>138</v>
      </c>
      <c r="K5" s="5" t="s">
        <v>139</v>
      </c>
    </row>
    <row r="6" customFormat="false" ht="57.75" hidden="false" customHeight="true" outlineLevel="0" collapsed="false">
      <c r="A6" s="19" t="s">
        <v>129</v>
      </c>
      <c r="B6" s="4" t="s">
        <v>140</v>
      </c>
      <c r="C6" s="18" t="s">
        <v>141</v>
      </c>
      <c r="D6" s="18" t="s">
        <v>142</v>
      </c>
      <c r="E6" s="18" t="s">
        <v>143</v>
      </c>
      <c r="F6" s="18" t="s">
        <v>144</v>
      </c>
      <c r="G6" s="18" t="s">
        <v>145</v>
      </c>
      <c r="H6" s="18" t="s">
        <v>146</v>
      </c>
      <c r="I6" s="18" t="s">
        <v>147</v>
      </c>
      <c r="J6" s="18" t="s">
        <v>148</v>
      </c>
      <c r="K6" s="18" t="s">
        <v>149</v>
      </c>
    </row>
    <row r="7" customFormat="false" ht="57.75" hidden="false" customHeight="true" outlineLevel="0" collapsed="false">
      <c r="A7" s="19" t="s">
        <v>129</v>
      </c>
      <c r="B7" s="4" t="s">
        <v>150</v>
      </c>
      <c r="C7" s="5" t="s">
        <v>151</v>
      </c>
      <c r="D7" s="5" t="s">
        <v>152</v>
      </c>
      <c r="E7" s="5" t="s">
        <v>153</v>
      </c>
      <c r="F7" s="5" t="s">
        <v>154</v>
      </c>
      <c r="G7" s="5" t="s">
        <v>155</v>
      </c>
      <c r="H7" s="5" t="s">
        <v>156</v>
      </c>
      <c r="I7" s="5" t="s">
        <v>157</v>
      </c>
      <c r="J7" s="5" t="s">
        <v>158</v>
      </c>
      <c r="K7" s="5" t="s">
        <v>159</v>
      </c>
    </row>
    <row r="8" customFormat="false" ht="45" hidden="false" customHeight="true" outlineLevel="0" collapsed="false">
      <c r="A8" s="19" t="s">
        <v>129</v>
      </c>
      <c r="B8" s="4" t="s">
        <v>85</v>
      </c>
      <c r="C8" s="18" t="s">
        <v>160</v>
      </c>
      <c r="D8" s="18" t="s">
        <v>161</v>
      </c>
      <c r="E8" s="18" t="s">
        <v>162</v>
      </c>
      <c r="F8" s="18" t="s">
        <v>163</v>
      </c>
      <c r="G8" s="18" t="s">
        <v>164</v>
      </c>
      <c r="H8" s="18" t="s">
        <v>165</v>
      </c>
      <c r="I8" s="18" t="s">
        <v>166</v>
      </c>
      <c r="J8" s="18" t="s">
        <v>167</v>
      </c>
      <c r="K8" s="18" t="s">
        <v>168</v>
      </c>
    </row>
    <row r="9" customFormat="false" ht="57.75" hidden="false" customHeight="true" outlineLevel="0" collapsed="false">
      <c r="A9" s="19" t="s">
        <v>129</v>
      </c>
      <c r="B9" s="4" t="s">
        <v>91</v>
      </c>
      <c r="C9" s="5" t="s">
        <v>169</v>
      </c>
      <c r="D9" s="5" t="s">
        <v>170</v>
      </c>
      <c r="E9" s="5" t="s">
        <v>171</v>
      </c>
      <c r="F9" s="5" t="s">
        <v>172</v>
      </c>
      <c r="G9" s="5" t="s">
        <v>173</v>
      </c>
      <c r="H9" s="5" t="s">
        <v>174</v>
      </c>
      <c r="I9" s="5" t="s">
        <v>175</v>
      </c>
      <c r="J9" s="5" t="s">
        <v>176</v>
      </c>
      <c r="K9" s="5" t="s">
        <v>177</v>
      </c>
    </row>
    <row r="10" customFormat="false" ht="84" hidden="false" customHeight="true" outlineLevel="0" collapsed="false">
      <c r="A10" s="19" t="s">
        <v>129</v>
      </c>
      <c r="B10" s="4" t="s">
        <v>97</v>
      </c>
      <c r="C10" s="18" t="s">
        <v>178</v>
      </c>
      <c r="D10" s="18" t="s">
        <v>179</v>
      </c>
      <c r="E10" s="18" t="s">
        <v>180</v>
      </c>
      <c r="F10" s="18" t="s">
        <v>181</v>
      </c>
      <c r="G10" s="18" t="s">
        <v>182</v>
      </c>
      <c r="H10" s="18" t="s">
        <v>183</v>
      </c>
      <c r="I10" s="18" t="s">
        <v>184</v>
      </c>
      <c r="J10" s="18" t="s">
        <v>185</v>
      </c>
      <c r="K10" s="18" t="s">
        <v>186</v>
      </c>
    </row>
    <row r="11" customFormat="false" ht="57.75" hidden="false" customHeight="true" outlineLevel="0" collapsed="false">
      <c r="A11" s="20" t="s">
        <v>187</v>
      </c>
      <c r="B11" s="11" t="s">
        <v>188</v>
      </c>
      <c r="C11" s="5" t="s">
        <v>189</v>
      </c>
      <c r="D11" s="5" t="s">
        <v>190</v>
      </c>
      <c r="E11" s="5" t="s">
        <v>191</v>
      </c>
      <c r="F11" s="5" t="s">
        <v>192</v>
      </c>
      <c r="G11" s="5" t="s">
        <v>193</v>
      </c>
      <c r="H11" s="5" t="s">
        <v>194</v>
      </c>
      <c r="I11" s="5" t="s">
        <v>195</v>
      </c>
      <c r="J11" s="5" t="s">
        <v>196</v>
      </c>
      <c r="K11" s="5" t="s">
        <v>197</v>
      </c>
    </row>
    <row r="12" customFormat="false" ht="57.75" hidden="false" customHeight="true" outlineLevel="0" collapsed="false">
      <c r="A12" s="20" t="s">
        <v>187</v>
      </c>
      <c r="B12" s="11" t="s">
        <v>198</v>
      </c>
      <c r="C12" s="18" t="s">
        <v>199</v>
      </c>
      <c r="D12" s="18" t="s">
        <v>200</v>
      </c>
      <c r="E12" s="18" t="s">
        <v>201</v>
      </c>
      <c r="F12" s="18" t="s">
        <v>202</v>
      </c>
      <c r="G12" s="18" t="s">
        <v>203</v>
      </c>
      <c r="H12" s="18" t="s">
        <v>204</v>
      </c>
      <c r="I12" s="18" t="s">
        <v>205</v>
      </c>
      <c r="J12" s="18" t="s">
        <v>206</v>
      </c>
      <c r="K12" s="18" t="s">
        <v>207</v>
      </c>
    </row>
    <row r="13" customFormat="false" ht="57.75" hidden="false" customHeight="true" outlineLevel="0" collapsed="false">
      <c r="A13" s="20" t="s">
        <v>187</v>
      </c>
      <c r="B13" s="11" t="s">
        <v>208</v>
      </c>
      <c r="C13" s="5" t="s">
        <v>209</v>
      </c>
      <c r="D13" s="5" t="s">
        <v>210</v>
      </c>
      <c r="E13" s="5" t="s">
        <v>211</v>
      </c>
      <c r="F13" s="5" t="s">
        <v>212</v>
      </c>
      <c r="G13" s="5" t="s">
        <v>213</v>
      </c>
      <c r="H13" s="5" t="s">
        <v>214</v>
      </c>
      <c r="I13" s="5" t="s">
        <v>215</v>
      </c>
      <c r="J13" s="5" t="s">
        <v>216</v>
      </c>
      <c r="K13" s="5" t="s">
        <v>217</v>
      </c>
    </row>
    <row r="14" customFormat="false" ht="57.75" hidden="false" customHeight="true" outlineLevel="0" collapsed="false">
      <c r="A14" s="20" t="s">
        <v>187</v>
      </c>
      <c r="B14" s="11" t="s">
        <v>218</v>
      </c>
      <c r="C14" s="18" t="s">
        <v>219</v>
      </c>
      <c r="D14" s="18" t="s">
        <v>220</v>
      </c>
      <c r="E14" s="18" t="s">
        <v>221</v>
      </c>
      <c r="F14" s="18" t="s">
        <v>222</v>
      </c>
      <c r="G14" s="18" t="s">
        <v>223</v>
      </c>
      <c r="H14" s="18" t="s">
        <v>224</v>
      </c>
      <c r="I14" s="18" t="s">
        <v>225</v>
      </c>
      <c r="J14" s="18" t="s">
        <v>226</v>
      </c>
      <c r="K14" s="18" t="s">
        <v>227</v>
      </c>
    </row>
    <row r="15" customFormat="false" ht="57.75" hidden="false" customHeight="true" outlineLevel="0" collapsed="false">
      <c r="A15" s="20" t="s">
        <v>187</v>
      </c>
      <c r="B15" s="11" t="s">
        <v>228</v>
      </c>
      <c r="C15" s="5" t="s">
        <v>229</v>
      </c>
      <c r="D15" s="5" t="s">
        <v>230</v>
      </c>
      <c r="E15" s="5" t="s">
        <v>231</v>
      </c>
      <c r="F15" s="5" t="s">
        <v>232</v>
      </c>
      <c r="G15" s="5" t="s">
        <v>233</v>
      </c>
      <c r="H15" s="5" t="s">
        <v>234</v>
      </c>
      <c r="I15" s="5" t="s">
        <v>235</v>
      </c>
      <c r="J15" s="5" t="s">
        <v>236</v>
      </c>
      <c r="K15" s="5" t="s">
        <v>237</v>
      </c>
    </row>
    <row r="16" customFormat="false" ht="57.75" hidden="false" customHeight="true" outlineLevel="0" collapsed="false">
      <c r="A16" s="20" t="s">
        <v>187</v>
      </c>
      <c r="B16" s="11" t="s">
        <v>238</v>
      </c>
      <c r="C16" s="18" t="s">
        <v>239</v>
      </c>
      <c r="D16" s="18" t="s">
        <v>240</v>
      </c>
      <c r="E16" s="18" t="s">
        <v>241</v>
      </c>
      <c r="F16" s="18" t="s">
        <v>242</v>
      </c>
      <c r="G16" s="18" t="s">
        <v>241</v>
      </c>
      <c r="H16" s="18" t="s">
        <v>243</v>
      </c>
      <c r="I16" s="18" t="s">
        <v>244</v>
      </c>
      <c r="J16" s="18" t="s">
        <v>245</v>
      </c>
      <c r="K16" s="18" t="s">
        <v>246</v>
      </c>
    </row>
    <row r="17" customFormat="false" ht="57.75" hidden="false" customHeight="true" outlineLevel="0" collapsed="false">
      <c r="A17" s="21" t="s">
        <v>247</v>
      </c>
      <c r="B17" s="12" t="s">
        <v>248</v>
      </c>
      <c r="C17" s="5" t="s">
        <v>249</v>
      </c>
      <c r="D17" s="5" t="s">
        <v>250</v>
      </c>
      <c r="E17" s="5" t="s">
        <v>173</v>
      </c>
      <c r="F17" s="5" t="s">
        <v>251</v>
      </c>
      <c r="G17" s="5" t="s">
        <v>173</v>
      </c>
      <c r="H17" s="5" t="s">
        <v>252</v>
      </c>
      <c r="I17" s="5" t="s">
        <v>253</v>
      </c>
      <c r="J17" s="5" t="s">
        <v>254</v>
      </c>
      <c r="K17" s="5" t="s">
        <v>255</v>
      </c>
    </row>
    <row r="18" customFormat="false" ht="45" hidden="false" customHeight="true" outlineLevel="0" collapsed="false">
      <c r="A18" s="21" t="s">
        <v>247</v>
      </c>
      <c r="B18" s="12" t="s">
        <v>256</v>
      </c>
      <c r="C18" s="18" t="s">
        <v>257</v>
      </c>
      <c r="D18" s="18" t="s">
        <v>258</v>
      </c>
      <c r="E18" s="18" t="s">
        <v>259</v>
      </c>
      <c r="F18" s="18" t="s">
        <v>260</v>
      </c>
      <c r="G18" s="18" t="s">
        <v>173</v>
      </c>
      <c r="H18" s="18" t="s">
        <v>261</v>
      </c>
      <c r="I18" s="18" t="s">
        <v>262</v>
      </c>
      <c r="J18" s="18" t="s">
        <v>263</v>
      </c>
      <c r="K18" s="18" t="s">
        <v>264</v>
      </c>
    </row>
  </sheetData>
  <autoFilter ref="A4:K18"/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4" min="3" style="0" width="44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4" t="s">
        <v>265</v>
      </c>
    </row>
    <row r="2" customFormat="false" ht="15" hidden="false" customHeight="false" outlineLevel="0" collapsed="false">
      <c r="A2" s="2" t="s">
        <v>266</v>
      </c>
    </row>
    <row r="4" customFormat="false" ht="31.5" hidden="false" customHeight="true" outlineLevel="0" collapsed="false">
      <c r="A4" s="15" t="s">
        <v>119</v>
      </c>
      <c r="B4" s="15" t="s">
        <v>267</v>
      </c>
      <c r="C4" s="15" t="s">
        <v>268</v>
      </c>
      <c r="D4" s="15" t="s">
        <v>269</v>
      </c>
      <c r="E4" s="15" t="s">
        <v>270</v>
      </c>
      <c r="F4" s="15" t="s">
        <v>128</v>
      </c>
    </row>
    <row r="5" customFormat="false" ht="31.5" hidden="false" customHeight="true" outlineLevel="0" collapsed="false">
      <c r="A5" s="16" t="s">
        <v>271</v>
      </c>
      <c r="B5" s="5" t="s">
        <v>272</v>
      </c>
      <c r="C5" s="5" t="s">
        <v>273</v>
      </c>
      <c r="D5" s="5" t="s">
        <v>274</v>
      </c>
      <c r="E5" s="5" t="s">
        <v>275</v>
      </c>
      <c r="F5" s="5" t="s">
        <v>139</v>
      </c>
    </row>
    <row r="6" customFormat="false" ht="31.5" hidden="false" customHeight="true" outlineLevel="0" collapsed="false">
      <c r="A6" s="17" t="s">
        <v>140</v>
      </c>
      <c r="B6" s="18" t="s">
        <v>276</v>
      </c>
      <c r="C6" s="18" t="s">
        <v>277</v>
      </c>
      <c r="D6" s="18" t="s">
        <v>278</v>
      </c>
      <c r="E6" s="18" t="s">
        <v>279</v>
      </c>
      <c r="F6" s="18" t="s">
        <v>280</v>
      </c>
    </row>
    <row r="7" customFormat="false" ht="31.5" hidden="false" customHeight="true" outlineLevel="0" collapsed="false">
      <c r="A7" s="16" t="s">
        <v>150</v>
      </c>
      <c r="B7" s="5" t="s">
        <v>281</v>
      </c>
      <c r="C7" s="5" t="s">
        <v>282</v>
      </c>
      <c r="D7" s="5" t="s">
        <v>283</v>
      </c>
      <c r="E7" s="5" t="s">
        <v>284</v>
      </c>
      <c r="F7" s="5" t="s">
        <v>285</v>
      </c>
    </row>
    <row r="8" customFormat="false" ht="45" hidden="false" customHeight="true" outlineLevel="0" collapsed="false">
      <c r="A8" s="17" t="s">
        <v>85</v>
      </c>
      <c r="B8" s="18" t="s">
        <v>286</v>
      </c>
      <c r="C8" s="18" t="s">
        <v>287</v>
      </c>
      <c r="D8" s="18" t="s">
        <v>288</v>
      </c>
      <c r="E8" s="18" t="s">
        <v>289</v>
      </c>
      <c r="F8" s="18" t="s">
        <v>290</v>
      </c>
    </row>
    <row r="9" customFormat="false" ht="31.5" hidden="false" customHeight="true" outlineLevel="0" collapsed="false">
      <c r="A9" s="16" t="s">
        <v>91</v>
      </c>
      <c r="B9" s="5" t="s">
        <v>291</v>
      </c>
      <c r="C9" s="5" t="s">
        <v>292</v>
      </c>
      <c r="D9" s="5" t="s">
        <v>293</v>
      </c>
      <c r="E9" s="5" t="s">
        <v>294</v>
      </c>
      <c r="F9" s="5" t="s">
        <v>295</v>
      </c>
    </row>
    <row r="10" customFormat="false" ht="19.5" hidden="false" customHeight="true" outlineLevel="0" collapsed="false">
      <c r="A10" s="17" t="s">
        <v>97</v>
      </c>
      <c r="B10" s="18" t="s">
        <v>296</v>
      </c>
      <c r="C10" s="18" t="s">
        <v>297</v>
      </c>
      <c r="D10" s="18" t="s">
        <v>298</v>
      </c>
      <c r="E10" s="18" t="s">
        <v>299</v>
      </c>
      <c r="F10" s="18" t="s">
        <v>300</v>
      </c>
    </row>
    <row r="11" customFormat="false" ht="31.5" hidden="false" customHeight="true" outlineLevel="0" collapsed="false">
      <c r="A11" s="16" t="s">
        <v>188</v>
      </c>
      <c r="B11" s="5" t="s">
        <v>301</v>
      </c>
      <c r="C11" s="5" t="s">
        <v>302</v>
      </c>
      <c r="D11" s="5" t="s">
        <v>303</v>
      </c>
      <c r="E11" s="5" t="s">
        <v>304</v>
      </c>
      <c r="F11" s="5" t="s">
        <v>305</v>
      </c>
    </row>
    <row r="12" customFormat="false" ht="31.5" hidden="false" customHeight="true" outlineLevel="0" collapsed="false">
      <c r="A12" s="17" t="s">
        <v>198</v>
      </c>
      <c r="B12" s="18" t="s">
        <v>306</v>
      </c>
      <c r="C12" s="18" t="s">
        <v>307</v>
      </c>
      <c r="D12" s="18" t="s">
        <v>308</v>
      </c>
      <c r="E12" s="18" t="s">
        <v>309</v>
      </c>
      <c r="F12" s="18" t="s">
        <v>310</v>
      </c>
    </row>
    <row r="13" customFormat="false" ht="31.5" hidden="false" customHeight="true" outlineLevel="0" collapsed="false">
      <c r="A13" s="16" t="s">
        <v>109</v>
      </c>
      <c r="B13" s="5" t="s">
        <v>311</v>
      </c>
      <c r="C13" s="5" t="s">
        <v>312</v>
      </c>
      <c r="D13" s="5" t="s">
        <v>313</v>
      </c>
      <c r="E13" s="5" t="s">
        <v>314</v>
      </c>
      <c r="F13" s="5" t="s">
        <v>315</v>
      </c>
    </row>
    <row r="14" customFormat="false" ht="31.5" hidden="false" customHeight="true" outlineLevel="0" collapsed="false">
      <c r="A14" s="17" t="s">
        <v>218</v>
      </c>
      <c r="B14" s="18" t="s">
        <v>316</v>
      </c>
      <c r="C14" s="18" t="s">
        <v>317</v>
      </c>
      <c r="D14" s="18" t="s">
        <v>318</v>
      </c>
      <c r="E14" s="18" t="s">
        <v>317</v>
      </c>
      <c r="F14" s="18" t="s">
        <v>227</v>
      </c>
    </row>
    <row r="15" customFormat="false" ht="31.5" hidden="false" customHeight="true" outlineLevel="0" collapsed="false">
      <c r="A15" s="16" t="s">
        <v>228</v>
      </c>
      <c r="B15" s="5" t="s">
        <v>319</v>
      </c>
      <c r="C15" s="5" t="s">
        <v>320</v>
      </c>
      <c r="D15" s="5" t="s">
        <v>321</v>
      </c>
      <c r="E15" s="5" t="s">
        <v>322</v>
      </c>
      <c r="F15" s="5" t="s">
        <v>237</v>
      </c>
    </row>
    <row r="16" customFormat="false" ht="45" hidden="false" customHeight="true" outlineLevel="0" collapsed="false">
      <c r="A16" s="17" t="s">
        <v>323</v>
      </c>
      <c r="B16" s="18" t="s">
        <v>324</v>
      </c>
      <c r="C16" s="18" t="s">
        <v>325</v>
      </c>
      <c r="D16" s="18" t="s">
        <v>326</v>
      </c>
      <c r="E16" s="18" t="s">
        <v>327</v>
      </c>
      <c r="F16" s="18" t="s">
        <v>328</v>
      </c>
    </row>
    <row r="17" customFormat="false" ht="19.5" hidden="false" customHeight="true" outlineLevel="0" collapsed="false">
      <c r="A17" s="16" t="s">
        <v>329</v>
      </c>
      <c r="B17" s="5" t="s">
        <v>330</v>
      </c>
      <c r="C17" s="5" t="s">
        <v>317</v>
      </c>
      <c r="D17" s="5" t="s">
        <v>331</v>
      </c>
      <c r="E17" s="5" t="s">
        <v>332</v>
      </c>
      <c r="F17" s="5" t="s">
        <v>333</v>
      </c>
    </row>
    <row r="18" customFormat="false" ht="31.5" hidden="false" customHeight="true" outlineLevel="0" collapsed="false">
      <c r="A18" s="17" t="s">
        <v>256</v>
      </c>
      <c r="B18" s="18" t="s">
        <v>334</v>
      </c>
      <c r="C18" s="18" t="s">
        <v>317</v>
      </c>
      <c r="D18" s="18" t="s">
        <v>335</v>
      </c>
      <c r="E18" s="18" t="s">
        <v>336</v>
      </c>
      <c r="F18" s="18" t="s">
        <v>264</v>
      </c>
    </row>
  </sheetData>
  <autoFilter ref="A4:F18"/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12" min="3" style="0" width="15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70"/>
  </cols>
  <sheetData>
    <row r="1" customFormat="false" ht="24" hidden="false" customHeight="true" outlineLevel="0" collapsed="false">
      <c r="A1" s="14" t="s">
        <v>337</v>
      </c>
    </row>
    <row r="2" customFormat="false" ht="15" hidden="false" customHeight="false" outlineLevel="0" collapsed="false">
      <c r="A2" s="2" t="s">
        <v>338</v>
      </c>
    </row>
    <row r="3" customFormat="false" ht="15" hidden="false" customHeight="false" outlineLevel="0" collapsed="false">
      <c r="A3" s="22" t="s">
        <v>339</v>
      </c>
      <c r="C3" s="23" t="n">
        <v>6</v>
      </c>
      <c r="D3" s="22" t="s">
        <v>340</v>
      </c>
      <c r="F3" s="23" t="n">
        <v>8</v>
      </c>
      <c r="G3" s="22" t="s">
        <v>341</v>
      </c>
      <c r="I3" s="23" t="n">
        <v>14</v>
      </c>
      <c r="J3" s="2" t="s">
        <v>342</v>
      </c>
    </row>
    <row r="5" customFormat="false" ht="78" hidden="false" customHeight="true" outlineLevel="0" collapsed="false">
      <c r="A5" s="15" t="s">
        <v>119</v>
      </c>
      <c r="B5" s="15" t="s">
        <v>343</v>
      </c>
      <c r="C5" s="15" t="s">
        <v>344</v>
      </c>
      <c r="D5" s="15" t="s">
        <v>345</v>
      </c>
      <c r="E5" s="15" t="s">
        <v>346</v>
      </c>
      <c r="F5" s="15" t="s">
        <v>347</v>
      </c>
      <c r="G5" s="15" t="s">
        <v>348</v>
      </c>
      <c r="H5" s="15" t="s">
        <v>349</v>
      </c>
      <c r="I5" s="15" t="s">
        <v>350</v>
      </c>
      <c r="J5" s="15" t="s">
        <v>351</v>
      </c>
      <c r="K5" s="15" t="s">
        <v>352</v>
      </c>
      <c r="L5" s="15" t="s">
        <v>353</v>
      </c>
      <c r="M5" s="15" t="s">
        <v>354</v>
      </c>
      <c r="N5" s="15" t="s">
        <v>355</v>
      </c>
      <c r="O5" s="15" t="s">
        <v>356</v>
      </c>
      <c r="P5" s="15" t="s">
        <v>357</v>
      </c>
    </row>
    <row r="6" customFormat="false" ht="33.75" hidden="false" customHeight="true" outlineLevel="0" collapsed="false">
      <c r="A6" s="4" t="s">
        <v>271</v>
      </c>
      <c r="B6" s="5" t="s">
        <v>358</v>
      </c>
      <c r="C6" s="24" t="s">
        <v>359</v>
      </c>
      <c r="D6" s="24" t="s">
        <v>359</v>
      </c>
      <c r="E6" s="24" t="s">
        <v>359</v>
      </c>
      <c r="F6" s="24" t="s">
        <v>359</v>
      </c>
      <c r="G6" s="24" t="s">
        <v>359</v>
      </c>
      <c r="H6" s="24" t="s">
        <v>360</v>
      </c>
      <c r="I6" s="24" t="s">
        <v>359</v>
      </c>
      <c r="J6" s="24" t="s">
        <v>359</v>
      </c>
      <c r="K6" s="24" t="s">
        <v>359</v>
      </c>
      <c r="L6" s="24" t="s">
        <v>359</v>
      </c>
      <c r="M6" s="25" t="n">
        <f aca="false">COUNTIF(C6:L6,"Y")*2+COUNTIF(C6:L6,"P")</f>
        <v>1</v>
      </c>
      <c r="N6" s="26" t="n">
        <f aca="false">COUNTA(C6:L6)-SUMPRODUCT(--(C6:L6="?"))</f>
        <v>10</v>
      </c>
      <c r="O6" s="24" t="str">
        <f aca="false">IF(N6&lt;$C$3,"Not rated",IF(M6&gt;=$I$3,"High",IF(M6&gt;=$F$3,"Medium","Low")))</f>
        <v>Low</v>
      </c>
      <c r="P6" s="5" t="s">
        <v>361</v>
      </c>
    </row>
    <row r="7" customFormat="false" ht="45" hidden="false" customHeight="true" outlineLevel="0" collapsed="false">
      <c r="A7" s="4" t="s">
        <v>140</v>
      </c>
      <c r="B7" s="5" t="s">
        <v>362</v>
      </c>
      <c r="C7" s="24" t="s">
        <v>359</v>
      </c>
      <c r="D7" s="24" t="s">
        <v>363</v>
      </c>
      <c r="E7" s="24" t="s">
        <v>359</v>
      </c>
      <c r="F7" s="24" t="s">
        <v>359</v>
      </c>
      <c r="G7" s="24" t="s">
        <v>359</v>
      </c>
      <c r="H7" s="24" t="s">
        <v>360</v>
      </c>
      <c r="I7" s="24" t="s">
        <v>359</v>
      </c>
      <c r="J7" s="24" t="s">
        <v>359</v>
      </c>
      <c r="K7" s="24" t="s">
        <v>364</v>
      </c>
      <c r="L7" s="24" t="s">
        <v>359</v>
      </c>
      <c r="M7" s="25" t="n">
        <f aca="false">COUNTIF(C7:L7,"Y")*2+COUNTIF(C7:L7,"P")</f>
        <v>3</v>
      </c>
      <c r="N7" s="26" t="n">
        <f aca="false">COUNTA(C7:L7)-SUMPRODUCT(--(C7:L7="?"))</f>
        <v>9</v>
      </c>
      <c r="O7" s="24" t="str">
        <f aca="false">IF(N7&lt;$C$3,"Not rated",IF(M7&gt;=$I$3,"High",IF(M7&gt;=$F$3,"Medium","Low")))</f>
        <v>Low</v>
      </c>
      <c r="P7" s="5" t="s">
        <v>365</v>
      </c>
    </row>
    <row r="8" customFormat="false" ht="57.75" hidden="false" customHeight="true" outlineLevel="0" collapsed="false">
      <c r="A8" s="4" t="s">
        <v>150</v>
      </c>
      <c r="B8" s="5" t="s">
        <v>366</v>
      </c>
      <c r="C8" s="24" t="s">
        <v>363</v>
      </c>
      <c r="D8" s="24" t="s">
        <v>363</v>
      </c>
      <c r="E8" s="24" t="s">
        <v>359</v>
      </c>
      <c r="F8" s="24" t="s">
        <v>359</v>
      </c>
      <c r="G8" s="24" t="s">
        <v>359</v>
      </c>
      <c r="H8" s="24" t="s">
        <v>360</v>
      </c>
      <c r="I8" s="24" t="s">
        <v>359</v>
      </c>
      <c r="J8" s="24" t="s">
        <v>364</v>
      </c>
      <c r="K8" s="24" t="s">
        <v>364</v>
      </c>
      <c r="L8" s="24" t="s">
        <v>359</v>
      </c>
      <c r="M8" s="25" t="n">
        <f aca="false">COUNTIF(C8:L8,"Y")*2+COUNTIF(C8:L8,"P")</f>
        <v>5</v>
      </c>
      <c r="N8" s="26" t="n">
        <f aca="false">COUNTA(C8:L8)-SUMPRODUCT(--(C8:L8="?"))</f>
        <v>8</v>
      </c>
      <c r="O8" s="24" t="str">
        <f aca="false">IF(N8&lt;$C$3,"Not rated",IF(M8&gt;=$I$3,"High",IF(M8&gt;=$F$3,"Medium","Low")))</f>
        <v>Low</v>
      </c>
      <c r="P8" s="5" t="s">
        <v>367</v>
      </c>
    </row>
    <row r="9" customFormat="false" ht="33.75" hidden="false" customHeight="true" outlineLevel="0" collapsed="false">
      <c r="A9" s="4" t="s">
        <v>85</v>
      </c>
      <c r="B9" s="5" t="s">
        <v>368</v>
      </c>
      <c r="C9" s="24" t="s">
        <v>363</v>
      </c>
      <c r="D9" s="24" t="s">
        <v>359</v>
      </c>
      <c r="E9" s="24" t="s">
        <v>364</v>
      </c>
      <c r="F9" s="24" t="s">
        <v>364</v>
      </c>
      <c r="G9" s="24" t="s">
        <v>359</v>
      </c>
      <c r="H9" s="24" t="s">
        <v>364</v>
      </c>
      <c r="I9" s="24" t="s">
        <v>364</v>
      </c>
      <c r="J9" s="24" t="s">
        <v>364</v>
      </c>
      <c r="K9" s="24" t="s">
        <v>364</v>
      </c>
      <c r="L9" s="24" t="s">
        <v>359</v>
      </c>
      <c r="M9" s="25" t="n">
        <f aca="false">COUNTIF(C9:L9,"Y")*2+COUNTIF(C9:L9,"P")</f>
        <v>2</v>
      </c>
      <c r="N9" s="26" t="n">
        <f aca="false">COUNTA(C9:L9)-SUMPRODUCT(--(C9:L9="?"))</f>
        <v>4</v>
      </c>
      <c r="O9" s="24" t="str">
        <f aca="false">IF(N9&lt;$C$3,"Not rated",IF(M9&gt;=$I$3,"High",IF(M9&gt;=$F$3,"Medium","Low")))</f>
        <v>Not rated</v>
      </c>
      <c r="P9" s="5" t="s">
        <v>369</v>
      </c>
    </row>
    <row r="10" customFormat="false" ht="45" hidden="false" customHeight="true" outlineLevel="0" collapsed="false">
      <c r="A10" s="4" t="s">
        <v>91</v>
      </c>
      <c r="B10" s="5" t="s">
        <v>370</v>
      </c>
      <c r="C10" s="24" t="s">
        <v>363</v>
      </c>
      <c r="D10" s="24" t="s">
        <v>360</v>
      </c>
      <c r="E10" s="24" t="s">
        <v>360</v>
      </c>
      <c r="F10" s="24" t="s">
        <v>360</v>
      </c>
      <c r="G10" s="24" t="s">
        <v>359</v>
      </c>
      <c r="H10" s="24" t="s">
        <v>360</v>
      </c>
      <c r="I10" s="24" t="s">
        <v>359</v>
      </c>
      <c r="J10" s="24" t="s">
        <v>364</v>
      </c>
      <c r="K10" s="24" t="s">
        <v>364</v>
      </c>
      <c r="L10" s="24" t="s">
        <v>359</v>
      </c>
      <c r="M10" s="25" t="n">
        <f aca="false">COUNTIF(C10:L10,"Y")*2+COUNTIF(C10:L10,"P")</f>
        <v>6</v>
      </c>
      <c r="N10" s="26" t="n">
        <f aca="false">COUNTA(C10:L10)-SUMPRODUCT(--(C10:L10="?"))</f>
        <v>8</v>
      </c>
      <c r="O10" s="24" t="str">
        <f aca="false">IF(N10&lt;$C$3,"Not rated",IF(M10&gt;=$I$3,"High",IF(M10&gt;=$F$3,"Medium","Low")))</f>
        <v>Low</v>
      </c>
      <c r="P10" s="5" t="s">
        <v>371</v>
      </c>
    </row>
    <row r="11" customFormat="false" ht="45" hidden="false" customHeight="true" outlineLevel="0" collapsed="false">
      <c r="A11" s="11" t="s">
        <v>188</v>
      </c>
      <c r="B11" s="5" t="s">
        <v>372</v>
      </c>
      <c r="C11" s="24" t="s">
        <v>359</v>
      </c>
      <c r="D11" s="24" t="s">
        <v>364</v>
      </c>
      <c r="E11" s="24" t="s">
        <v>360</v>
      </c>
      <c r="F11" s="24" t="s">
        <v>363</v>
      </c>
      <c r="G11" s="24" t="s">
        <v>360</v>
      </c>
      <c r="H11" s="24" t="s">
        <v>363</v>
      </c>
      <c r="I11" s="24" t="s">
        <v>363</v>
      </c>
      <c r="J11" s="24" t="s">
        <v>360</v>
      </c>
      <c r="K11" s="24" t="s">
        <v>363</v>
      </c>
      <c r="L11" s="24" t="s">
        <v>359</v>
      </c>
      <c r="M11" s="25" t="n">
        <f aca="false">COUNTIF(C11:L11,"Y")*2+COUNTIF(C11:L11,"P")</f>
        <v>11</v>
      </c>
      <c r="N11" s="26" t="n">
        <f aca="false">COUNTA(C11:L11)-SUMPRODUCT(--(C11:L11="?"))</f>
        <v>9</v>
      </c>
      <c r="O11" s="24" t="str">
        <f aca="false">IF(N11&lt;$C$3,"Not rated",IF(M11&gt;=$I$3,"High",IF(M11&gt;=$F$3,"Medium","Low")))</f>
        <v>Medium</v>
      </c>
      <c r="P11" s="5" t="s">
        <v>373</v>
      </c>
    </row>
    <row r="12" customFormat="false" ht="57.75" hidden="false" customHeight="true" outlineLevel="0" collapsed="false">
      <c r="A12" s="11" t="s">
        <v>198</v>
      </c>
      <c r="B12" s="5" t="s">
        <v>374</v>
      </c>
      <c r="C12" s="24" t="s">
        <v>363</v>
      </c>
      <c r="D12" s="24" t="s">
        <v>363</v>
      </c>
      <c r="E12" s="24" t="s">
        <v>363</v>
      </c>
      <c r="F12" s="24" t="s">
        <v>363</v>
      </c>
      <c r="G12" s="24" t="s">
        <v>363</v>
      </c>
      <c r="H12" s="24" t="s">
        <v>363</v>
      </c>
      <c r="I12" s="24" t="s">
        <v>363</v>
      </c>
      <c r="J12" s="24" t="s">
        <v>363</v>
      </c>
      <c r="K12" s="24" t="s">
        <v>363</v>
      </c>
      <c r="L12" s="24" t="s">
        <v>360</v>
      </c>
      <c r="M12" s="25" t="n">
        <f aca="false">COUNTIF(C12:L12,"Y")*2+COUNTIF(C12:L12,"P")</f>
        <v>19</v>
      </c>
      <c r="N12" s="26" t="n">
        <f aca="false">COUNTA(C12:L12)-SUMPRODUCT(--(C12:L12="?"))</f>
        <v>10</v>
      </c>
      <c r="O12" s="24" t="str">
        <f aca="false">IF(N12&lt;$C$3,"Not rated",IF(M12&gt;=$I$3,"High",IF(M12&gt;=$F$3,"Medium","Low")))</f>
        <v>High</v>
      </c>
      <c r="P12" s="5" t="s">
        <v>375</v>
      </c>
    </row>
    <row r="13" customFormat="false" ht="45" hidden="false" customHeight="true" outlineLevel="0" collapsed="false">
      <c r="A13" s="11" t="s">
        <v>109</v>
      </c>
      <c r="B13" s="5" t="s">
        <v>376</v>
      </c>
      <c r="C13" s="24" t="s">
        <v>363</v>
      </c>
      <c r="D13" s="24" t="s">
        <v>363</v>
      </c>
      <c r="E13" s="24" t="s">
        <v>360</v>
      </c>
      <c r="F13" s="24" t="s">
        <v>363</v>
      </c>
      <c r="G13" s="24" t="s">
        <v>363</v>
      </c>
      <c r="H13" s="24" t="s">
        <v>363</v>
      </c>
      <c r="I13" s="24" t="s">
        <v>360</v>
      </c>
      <c r="J13" s="24" t="s">
        <v>363</v>
      </c>
      <c r="K13" s="24" t="s">
        <v>364</v>
      </c>
      <c r="L13" s="24" t="s">
        <v>359</v>
      </c>
      <c r="M13" s="25" t="n">
        <f aca="false">COUNTIF(C13:L13,"Y")*2+COUNTIF(C13:L13,"P")</f>
        <v>14</v>
      </c>
      <c r="N13" s="26" t="n">
        <f aca="false">COUNTA(C13:L13)-SUMPRODUCT(--(C13:L13="?"))</f>
        <v>9</v>
      </c>
      <c r="O13" s="24" t="str">
        <f aca="false">IF(N13&lt;$C$3,"Not rated",IF(M13&gt;=$I$3,"High",IF(M13&gt;=$F$3,"Medium","Low")))</f>
        <v>High</v>
      </c>
      <c r="P13" s="5" t="s">
        <v>377</v>
      </c>
    </row>
    <row r="14" customFormat="false" ht="45" hidden="false" customHeight="true" outlineLevel="0" collapsed="false">
      <c r="A14" s="11" t="s">
        <v>218</v>
      </c>
      <c r="B14" s="5" t="s">
        <v>378</v>
      </c>
      <c r="C14" s="24" t="s">
        <v>360</v>
      </c>
      <c r="D14" s="24" t="s">
        <v>363</v>
      </c>
      <c r="E14" s="24" t="s">
        <v>364</v>
      </c>
      <c r="F14" s="24" t="s">
        <v>364</v>
      </c>
      <c r="G14" s="24" t="s">
        <v>364</v>
      </c>
      <c r="H14" s="24" t="s">
        <v>363</v>
      </c>
      <c r="I14" s="24" t="s">
        <v>360</v>
      </c>
      <c r="J14" s="24" t="s">
        <v>364</v>
      </c>
      <c r="K14" s="24" t="s">
        <v>364</v>
      </c>
      <c r="L14" s="24" t="s">
        <v>359</v>
      </c>
      <c r="M14" s="25" t="n">
        <f aca="false">COUNTIF(C14:L14,"Y")*2+COUNTIF(C14:L14,"P")</f>
        <v>6</v>
      </c>
      <c r="N14" s="26" t="n">
        <f aca="false">COUNTA(C14:L14)-SUMPRODUCT(--(C14:L14="?"))</f>
        <v>5</v>
      </c>
      <c r="O14" s="24" t="str">
        <f aca="false">IF(N14&lt;$C$3,"Not rated",IF(M14&gt;=$I$3,"High",IF(M14&gt;=$F$3,"Medium","Low")))</f>
        <v>Not rated</v>
      </c>
      <c r="P14" s="5" t="s">
        <v>379</v>
      </c>
    </row>
    <row r="15" customFormat="false" ht="45" hidden="false" customHeight="true" outlineLevel="0" collapsed="false">
      <c r="A15" s="11" t="s">
        <v>228</v>
      </c>
      <c r="B15" s="5" t="s">
        <v>380</v>
      </c>
      <c r="C15" s="24" t="s">
        <v>363</v>
      </c>
      <c r="D15" s="24" t="s">
        <v>363</v>
      </c>
      <c r="E15" s="24" t="s">
        <v>363</v>
      </c>
      <c r="F15" s="24" t="s">
        <v>364</v>
      </c>
      <c r="G15" s="24" t="s">
        <v>364</v>
      </c>
      <c r="H15" s="24" t="s">
        <v>364</v>
      </c>
      <c r="I15" s="24" t="s">
        <v>360</v>
      </c>
      <c r="J15" s="24" t="s">
        <v>364</v>
      </c>
      <c r="K15" s="24" t="s">
        <v>364</v>
      </c>
      <c r="L15" s="24" t="s">
        <v>363</v>
      </c>
      <c r="M15" s="25" t="n">
        <f aca="false">COUNTIF(C15:L15,"Y")*2+COUNTIF(C15:L15,"P")</f>
        <v>9</v>
      </c>
      <c r="N15" s="26" t="n">
        <f aca="false">COUNTA(C15:L15)-SUMPRODUCT(--(C15:L15="?"))</f>
        <v>5</v>
      </c>
      <c r="O15" s="24" t="str">
        <f aca="false">IF(N15&lt;$C$3,"Not rated",IF(M15&gt;=$I$3,"High",IF(M15&gt;=$F$3,"Medium","Low")))</f>
        <v>Not rated</v>
      </c>
      <c r="P15" s="5" t="s">
        <v>381</v>
      </c>
    </row>
    <row r="16" customFormat="false" ht="45" hidden="false" customHeight="true" outlineLevel="0" collapsed="false">
      <c r="A16" s="11" t="s">
        <v>323</v>
      </c>
      <c r="B16" s="5" t="s">
        <v>382</v>
      </c>
      <c r="C16" s="24" t="s">
        <v>363</v>
      </c>
      <c r="D16" s="24" t="s">
        <v>360</v>
      </c>
      <c r="E16" s="24" t="s">
        <v>360</v>
      </c>
      <c r="F16" s="24" t="s">
        <v>360</v>
      </c>
      <c r="G16" s="24" t="s">
        <v>364</v>
      </c>
      <c r="H16" s="24" t="s">
        <v>364</v>
      </c>
      <c r="I16" s="24" t="s">
        <v>364</v>
      </c>
      <c r="J16" s="24" t="s">
        <v>363</v>
      </c>
      <c r="K16" s="24" t="s">
        <v>360</v>
      </c>
      <c r="L16" s="24" t="s">
        <v>363</v>
      </c>
      <c r="M16" s="25" t="n">
        <f aca="false">COUNTIF(C16:L16,"Y")*2+COUNTIF(C16:L16,"P")</f>
        <v>10</v>
      </c>
      <c r="N16" s="26" t="n">
        <f aca="false">COUNTA(C16:L16)-SUMPRODUCT(--(C16:L16="?"))</f>
        <v>7</v>
      </c>
      <c r="O16" s="24" t="str">
        <f aca="false">IF(N16&lt;$C$3,"Not rated",IF(M16&gt;=$I$3,"High",IF(M16&gt;=$F$3,"Medium","Low")))</f>
        <v>Medium</v>
      </c>
      <c r="P16" s="5" t="s">
        <v>383</v>
      </c>
    </row>
    <row r="17" customFormat="false" ht="45" hidden="false" customHeight="true" outlineLevel="0" collapsed="false">
      <c r="A17" s="12" t="s">
        <v>329</v>
      </c>
      <c r="B17" s="5" t="s">
        <v>384</v>
      </c>
      <c r="C17" s="24" t="s">
        <v>359</v>
      </c>
      <c r="D17" s="24" t="s">
        <v>360</v>
      </c>
      <c r="E17" s="24" t="s">
        <v>364</v>
      </c>
      <c r="F17" s="24" t="s">
        <v>363</v>
      </c>
      <c r="G17" s="24" t="s">
        <v>364</v>
      </c>
      <c r="H17" s="24" t="s">
        <v>364</v>
      </c>
      <c r="I17" s="24" t="s">
        <v>363</v>
      </c>
      <c r="J17" s="24" t="s">
        <v>364</v>
      </c>
      <c r="K17" s="24" t="s">
        <v>364</v>
      </c>
      <c r="L17" s="24" t="s">
        <v>359</v>
      </c>
      <c r="M17" s="25" t="n">
        <f aca="false">COUNTIF(C17:L17,"Y")*2+COUNTIF(C17:L17,"P")</f>
        <v>5</v>
      </c>
      <c r="N17" s="26" t="n">
        <f aca="false">COUNTA(C17:L17)-SUMPRODUCT(--(C17:L17="?"))</f>
        <v>5</v>
      </c>
      <c r="O17" s="24" t="str">
        <f aca="false">IF(N17&lt;$C$3,"Not rated",IF(M17&gt;=$I$3,"High",IF(M17&gt;=$F$3,"Medium","Low")))</f>
        <v>Not rated</v>
      </c>
      <c r="P17" s="5" t="s">
        <v>385</v>
      </c>
    </row>
    <row r="18" customFormat="false" ht="33.75" hidden="false" customHeight="true" outlineLevel="0" collapsed="false">
      <c r="A18" s="12" t="s">
        <v>256</v>
      </c>
      <c r="B18" s="5" t="s">
        <v>386</v>
      </c>
      <c r="C18" s="24" t="s">
        <v>364</v>
      </c>
      <c r="D18" s="24" t="s">
        <v>364</v>
      </c>
      <c r="E18" s="24" t="s">
        <v>364</v>
      </c>
      <c r="F18" s="24" t="s">
        <v>364</v>
      </c>
      <c r="G18" s="24" t="s">
        <v>364</v>
      </c>
      <c r="H18" s="24" t="s">
        <v>364</v>
      </c>
      <c r="I18" s="24" t="s">
        <v>363</v>
      </c>
      <c r="J18" s="24" t="s">
        <v>364</v>
      </c>
      <c r="K18" s="24" t="s">
        <v>364</v>
      </c>
      <c r="L18" s="24" t="s">
        <v>364</v>
      </c>
      <c r="M18" s="25" t="n">
        <f aca="false">COUNTIF(C18:L18,"Y")*2+COUNTIF(C18:L18,"P")</f>
        <v>2</v>
      </c>
      <c r="N18" s="26" t="n">
        <f aca="false">COUNTA(C18:L18)-SUMPRODUCT(--(C18:L18="?"))</f>
        <v>1</v>
      </c>
      <c r="O18" s="24" t="str">
        <f aca="false">IF(N18&lt;$C$3,"Not rated",IF(M18&gt;=$I$3,"High",IF(M18&gt;=$F$3,"Medium","Low")))</f>
        <v>Not rated</v>
      </c>
      <c r="P18" s="5" t="s">
        <v>387</v>
      </c>
    </row>
    <row r="20" customFormat="false" ht="15" hidden="false" customHeight="false" outlineLevel="0" collapsed="false">
      <c r="A20" s="2" t="s">
        <v>388</v>
      </c>
    </row>
  </sheetData>
  <conditionalFormatting sqref="C6:L18">
    <cfRule type="cellIs" priority="2" operator="equal" aboveAverage="0" equalAverage="0" bottom="0" percent="0" rank="0" text="" dxfId="7">
      <formula>"Y"</formula>
    </cfRule>
    <cfRule type="cellIs" priority="3" operator="equal" aboveAverage="0" equalAverage="0" bottom="0" percent="0" rank="0" text="" dxfId="8">
      <formula>"P"</formula>
    </cfRule>
    <cfRule type="cellIs" priority="4" operator="equal" aboveAverage="0" equalAverage="0" bottom="0" percent="0" rank="0" text="" dxfId="9">
      <formula>"N"</formula>
    </cfRule>
    <cfRule type="cellIs" priority="5" operator="equal" aboveAverage="0" equalAverage="0" bottom="0" percent="0" rank="0" text="" dxfId="10">
      <formula>"?"</formula>
    </cfRule>
  </conditionalFormatting>
  <conditionalFormatting sqref="O6:O18">
    <cfRule type="cellIs" priority="6" operator="equal" aboveAverage="0" equalAverage="0" bottom="0" percent="0" rank="0" text="" dxfId="11">
      <formula>"High"</formula>
    </cfRule>
    <cfRule type="cellIs" priority="7" operator="equal" aboveAverage="0" equalAverage="0" bottom="0" percent="0" rank="0" text="" dxfId="12">
      <formula>"Medium"</formula>
    </cfRule>
    <cfRule type="cellIs" priority="8" operator="equal" aboveAverage="0" equalAverage="0" bottom="0" percent="0" rank="0" text="" dxfId="13">
      <formula>"Low"</formula>
    </cfRule>
    <cfRule type="cellIs" priority="9" operator="equal" aboveAverage="0" equalAverage="0" bottom="0" percent="0" rank="0" text="" dxfId="14">
      <formula>"Not rated"</formula>
    </cfRule>
  </conditionalFormatting>
  <conditionalFormatting sqref="M6:M18">
    <cfRule type="dataBar" priority="10">
      <dataBar showValue="1" minLength="10" maxLength="90">
        <cfvo type="num" val="0"/>
        <cfvo type="num" val="20"/>
        <color rgb="FF5B9BD5"/>
      </dataBar>
      <extLst>
        <ext xmlns:x14="http://schemas.microsoft.com/office/spreadsheetml/2009/9/main" uri="{B025F937-C7B1-47D3-B67F-A62EFF666E3E}">
          <x14:id>{F7E4A9EB-7E3A-4A39-996F-4D92DD26B04F}</x14:id>
        </ext>
      </extLst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E4A9EB-7E3A-4A39-996F-4D92DD26B04F}">
            <x14:dataBar minLength="10" maxLength="90" axisPosition="none" gradient="true">
              <x14:cfvo type="num">
                <xm:f>0</xm:f>
              </x14:cfvo>
              <x14:cfvo type="num">
                <xm:f>20</xm:f>
              </x14:cfvo>
              <x14:negativeFillColor rgb="FF5B9BD5"/>
              <x14:axisColor rgb="FF000000"/>
            </x14:dataBar>
          </x14:cfRule>
          <xm:sqref>M6:M18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56"/>
    <col collapsed="false" customWidth="true" hidden="false" outlineLevel="0" max="7" min="7" style="0" width="62"/>
    <col collapsed="false" customWidth="true" hidden="false" outlineLevel="0" max="8" min="8" style="0" width="26"/>
  </cols>
  <sheetData>
    <row r="1" customFormat="false" ht="24" hidden="false" customHeight="true" outlineLevel="0" collapsed="false">
      <c r="A1" s="14" t="s">
        <v>389</v>
      </c>
    </row>
    <row r="2" customFormat="false" ht="15" hidden="false" customHeight="false" outlineLevel="0" collapsed="false">
      <c r="A2" s="2" t="s">
        <v>390</v>
      </c>
    </row>
    <row r="4" customFormat="false" ht="31.5" hidden="false" customHeight="true" outlineLevel="0" collapsed="false">
      <c r="A4" s="15" t="s">
        <v>391</v>
      </c>
      <c r="B4" s="15" t="s">
        <v>119</v>
      </c>
      <c r="C4" s="15" t="s">
        <v>392</v>
      </c>
      <c r="D4" s="15" t="s">
        <v>355</v>
      </c>
      <c r="E4" s="15" t="s">
        <v>356</v>
      </c>
      <c r="F4" s="15" t="s">
        <v>393</v>
      </c>
      <c r="G4" s="15" t="s">
        <v>394</v>
      </c>
      <c r="H4" s="15" t="s">
        <v>395</v>
      </c>
    </row>
    <row r="5" customFormat="false" ht="45" hidden="false" customHeight="true" outlineLevel="0" collapsed="false">
      <c r="A5" s="26" t="n">
        <v>1</v>
      </c>
      <c r="B5" s="16" t="s">
        <v>271</v>
      </c>
      <c r="C5" s="26" t="n">
        <f aca="false">INDEX('Security Matrix'!$M$6:$M$18,MATCH(B5,'Security Matrix'!$A$6:$A$18,0))</f>
        <v>1</v>
      </c>
      <c r="D5" s="26" t="n">
        <f aca="false">INDEX('Security Matrix'!$N$6:$N$18,MATCH(B5,'Security Matrix'!$A$6:$A$18,0))</f>
        <v>10</v>
      </c>
      <c r="E5" s="24" t="str">
        <f aca="false">INDEX('Security Matrix'!$O$6:$O$18,MATCH(B5,'Security Matrix'!$A$6:$A$18,0))</f>
        <v>Low</v>
      </c>
      <c r="F5" s="5" t="s">
        <v>396</v>
      </c>
      <c r="G5" s="5" t="s">
        <v>397</v>
      </c>
      <c r="H5" s="5" t="s">
        <v>398</v>
      </c>
    </row>
    <row r="6" customFormat="false" ht="45" hidden="false" customHeight="true" outlineLevel="0" collapsed="false">
      <c r="A6" s="26" t="n">
        <v>2</v>
      </c>
      <c r="B6" s="16" t="s">
        <v>140</v>
      </c>
      <c r="C6" s="26" t="n">
        <f aca="false">INDEX('Security Matrix'!$M$6:$M$18,MATCH(B6,'Security Matrix'!$A$6:$A$18,0))</f>
        <v>3</v>
      </c>
      <c r="D6" s="26" t="n">
        <f aca="false">INDEX('Security Matrix'!$N$6:$N$18,MATCH(B6,'Security Matrix'!$A$6:$A$18,0))</f>
        <v>9</v>
      </c>
      <c r="E6" s="24" t="str">
        <f aca="false">INDEX('Security Matrix'!$O$6:$O$18,MATCH(B6,'Security Matrix'!$A$6:$A$18,0))</f>
        <v>Low</v>
      </c>
      <c r="F6" s="5" t="s">
        <v>399</v>
      </c>
      <c r="G6" s="5" t="s">
        <v>400</v>
      </c>
      <c r="H6" s="5" t="s">
        <v>401</v>
      </c>
    </row>
    <row r="7" customFormat="false" ht="45" hidden="false" customHeight="true" outlineLevel="0" collapsed="false">
      <c r="A7" s="26" t="n">
        <v>3</v>
      </c>
      <c r="B7" s="16" t="s">
        <v>150</v>
      </c>
      <c r="C7" s="26" t="n">
        <f aca="false">INDEX('Security Matrix'!$M$6:$M$18,MATCH(B7,'Security Matrix'!$A$6:$A$18,0))</f>
        <v>5</v>
      </c>
      <c r="D7" s="26" t="n">
        <f aca="false">INDEX('Security Matrix'!$N$6:$N$18,MATCH(B7,'Security Matrix'!$A$6:$A$18,0))</f>
        <v>8</v>
      </c>
      <c r="E7" s="24" t="str">
        <f aca="false">INDEX('Security Matrix'!$O$6:$O$18,MATCH(B7,'Security Matrix'!$A$6:$A$18,0))</f>
        <v>Low</v>
      </c>
      <c r="F7" s="5" t="s">
        <v>402</v>
      </c>
      <c r="G7" s="5" t="s">
        <v>403</v>
      </c>
      <c r="H7" s="5" t="s">
        <v>404</v>
      </c>
    </row>
    <row r="8" customFormat="false" ht="33.75" hidden="false" customHeight="true" outlineLevel="0" collapsed="false">
      <c r="A8" s="26" t="n">
        <v>4</v>
      </c>
      <c r="B8" s="16" t="s">
        <v>91</v>
      </c>
      <c r="C8" s="26" t="n">
        <f aca="false">INDEX('Security Matrix'!$M$6:$M$18,MATCH(B8,'Security Matrix'!$A$6:$A$18,0))</f>
        <v>6</v>
      </c>
      <c r="D8" s="26" t="n">
        <f aca="false">INDEX('Security Matrix'!$N$6:$N$18,MATCH(B8,'Security Matrix'!$A$6:$A$18,0))</f>
        <v>8</v>
      </c>
      <c r="E8" s="24" t="str">
        <f aca="false">INDEX('Security Matrix'!$O$6:$O$18,MATCH(B8,'Security Matrix'!$A$6:$A$18,0))</f>
        <v>Low</v>
      </c>
      <c r="F8" s="5" t="s">
        <v>405</v>
      </c>
      <c r="G8" s="5" t="s">
        <v>406</v>
      </c>
      <c r="H8" s="5" t="s">
        <v>407</v>
      </c>
    </row>
    <row r="9" customFormat="false" ht="33.75" hidden="false" customHeight="true" outlineLevel="0" collapsed="false">
      <c r="A9" s="26" t="n">
        <v>5</v>
      </c>
      <c r="B9" s="16" t="s">
        <v>228</v>
      </c>
      <c r="C9" s="26" t="n">
        <f aca="false">INDEX('Security Matrix'!$M$6:$M$18,MATCH(B9,'Security Matrix'!$A$6:$A$18,0))</f>
        <v>9</v>
      </c>
      <c r="D9" s="26" t="n">
        <f aca="false">INDEX('Security Matrix'!$N$6:$N$18,MATCH(B9,'Security Matrix'!$A$6:$A$18,0))</f>
        <v>5</v>
      </c>
      <c r="E9" s="24" t="str">
        <f aca="false">INDEX('Security Matrix'!$O$6:$O$18,MATCH(B9,'Security Matrix'!$A$6:$A$18,0))</f>
        <v>Not rated</v>
      </c>
      <c r="F9" s="5" t="s">
        <v>408</v>
      </c>
      <c r="G9" s="5" t="s">
        <v>409</v>
      </c>
      <c r="H9" s="5" t="s">
        <v>410</v>
      </c>
    </row>
    <row r="10" customFormat="false" ht="33.75" hidden="false" customHeight="true" outlineLevel="0" collapsed="false">
      <c r="A10" s="26" t="n">
        <v>6</v>
      </c>
      <c r="B10" s="16" t="s">
        <v>323</v>
      </c>
      <c r="C10" s="26" t="n">
        <f aca="false">INDEX('Security Matrix'!$M$6:$M$18,MATCH(B10,'Security Matrix'!$A$6:$A$18,0))</f>
        <v>10</v>
      </c>
      <c r="D10" s="26" t="n">
        <f aca="false">INDEX('Security Matrix'!$N$6:$N$18,MATCH(B10,'Security Matrix'!$A$6:$A$18,0))</f>
        <v>7</v>
      </c>
      <c r="E10" s="24" t="str">
        <f aca="false">INDEX('Security Matrix'!$O$6:$O$18,MATCH(B10,'Security Matrix'!$A$6:$A$18,0))</f>
        <v>Medium</v>
      </c>
      <c r="F10" s="5" t="s">
        <v>411</v>
      </c>
      <c r="G10" s="5" t="s">
        <v>412</v>
      </c>
      <c r="H10" s="5" t="s">
        <v>413</v>
      </c>
    </row>
    <row r="11" customFormat="false" ht="33.75" hidden="false" customHeight="true" outlineLevel="0" collapsed="false">
      <c r="A11" s="26" t="n">
        <v>7</v>
      </c>
      <c r="B11" s="16" t="s">
        <v>188</v>
      </c>
      <c r="C11" s="26" t="n">
        <f aca="false">INDEX('Security Matrix'!$M$6:$M$18,MATCH(B11,'Security Matrix'!$A$6:$A$18,0))</f>
        <v>11</v>
      </c>
      <c r="D11" s="26" t="n">
        <f aca="false">INDEX('Security Matrix'!$N$6:$N$18,MATCH(B11,'Security Matrix'!$A$6:$A$18,0))</f>
        <v>9</v>
      </c>
      <c r="E11" s="24" t="str">
        <f aca="false">INDEX('Security Matrix'!$O$6:$O$18,MATCH(B11,'Security Matrix'!$A$6:$A$18,0))</f>
        <v>Medium</v>
      </c>
      <c r="F11" s="5" t="s">
        <v>414</v>
      </c>
      <c r="G11" s="5" t="s">
        <v>415</v>
      </c>
      <c r="H11" s="5" t="s">
        <v>416</v>
      </c>
    </row>
    <row r="12" customFormat="false" ht="33.75" hidden="false" customHeight="true" outlineLevel="0" collapsed="false">
      <c r="A12" s="26" t="n">
        <v>8</v>
      </c>
      <c r="B12" s="16" t="s">
        <v>109</v>
      </c>
      <c r="C12" s="26" t="n">
        <f aca="false">INDEX('Security Matrix'!$M$6:$M$18,MATCH(B12,'Security Matrix'!$A$6:$A$18,0))</f>
        <v>14</v>
      </c>
      <c r="D12" s="26" t="n">
        <f aca="false">INDEX('Security Matrix'!$N$6:$N$18,MATCH(B12,'Security Matrix'!$A$6:$A$18,0))</f>
        <v>9</v>
      </c>
      <c r="E12" s="24" t="str">
        <f aca="false">INDEX('Security Matrix'!$O$6:$O$18,MATCH(B12,'Security Matrix'!$A$6:$A$18,0))</f>
        <v>High</v>
      </c>
      <c r="F12" s="5" t="s">
        <v>417</v>
      </c>
      <c r="G12" s="5" t="s">
        <v>418</v>
      </c>
      <c r="H12" s="5" t="s">
        <v>210</v>
      </c>
    </row>
    <row r="13" customFormat="false" ht="33.75" hidden="false" customHeight="true" outlineLevel="0" collapsed="false">
      <c r="A13" s="26" t="n">
        <v>9</v>
      </c>
      <c r="B13" s="16" t="s">
        <v>198</v>
      </c>
      <c r="C13" s="26" t="n">
        <f aca="false">INDEX('Security Matrix'!$M$6:$M$18,MATCH(B13,'Security Matrix'!$A$6:$A$18,0))</f>
        <v>19</v>
      </c>
      <c r="D13" s="26" t="n">
        <f aca="false">INDEX('Security Matrix'!$N$6:$N$18,MATCH(B13,'Security Matrix'!$A$6:$A$18,0))</f>
        <v>10</v>
      </c>
      <c r="E13" s="24" t="str">
        <f aca="false">INDEX('Security Matrix'!$O$6:$O$18,MATCH(B13,'Security Matrix'!$A$6:$A$18,0))</f>
        <v>High</v>
      </c>
      <c r="F13" s="5" t="s">
        <v>419</v>
      </c>
      <c r="G13" s="5" t="s">
        <v>420</v>
      </c>
      <c r="H13" s="5" t="s">
        <v>421</v>
      </c>
    </row>
    <row r="14" customFormat="false" ht="33.75" hidden="false" customHeight="true" outlineLevel="0" collapsed="false">
      <c r="A14" s="26" t="s">
        <v>422</v>
      </c>
      <c r="B14" s="16" t="s">
        <v>85</v>
      </c>
      <c r="C14" s="26" t="n">
        <f aca="false">INDEX('Security Matrix'!$M$6:$M$18,MATCH(B14,'Security Matrix'!$A$6:$A$18,0))</f>
        <v>2</v>
      </c>
      <c r="D14" s="26" t="n">
        <f aca="false">INDEX('Security Matrix'!$N$6:$N$18,MATCH(B14,'Security Matrix'!$A$6:$A$18,0))</f>
        <v>4</v>
      </c>
      <c r="E14" s="24" t="str">
        <f aca="false">INDEX('Security Matrix'!$O$6:$O$18,MATCH(B14,'Security Matrix'!$A$6:$A$18,0))</f>
        <v>Not rated</v>
      </c>
      <c r="F14" s="5" t="s">
        <v>423</v>
      </c>
      <c r="G14" s="5" t="s">
        <v>424</v>
      </c>
      <c r="H14" s="5" t="s">
        <v>425</v>
      </c>
    </row>
    <row r="15" customFormat="false" ht="33.75" hidden="false" customHeight="true" outlineLevel="0" collapsed="false">
      <c r="A15" s="26" t="s">
        <v>422</v>
      </c>
      <c r="B15" s="16" t="s">
        <v>218</v>
      </c>
      <c r="C15" s="26" t="n">
        <f aca="false">INDEX('Security Matrix'!$M$6:$M$18,MATCH(B15,'Security Matrix'!$A$6:$A$18,0))</f>
        <v>6</v>
      </c>
      <c r="D15" s="26" t="n">
        <f aca="false">INDEX('Security Matrix'!$N$6:$N$18,MATCH(B15,'Security Matrix'!$A$6:$A$18,0))</f>
        <v>5</v>
      </c>
      <c r="E15" s="24" t="str">
        <f aca="false">INDEX('Security Matrix'!$O$6:$O$18,MATCH(B15,'Security Matrix'!$A$6:$A$18,0))</f>
        <v>Not rated</v>
      </c>
      <c r="F15" s="5" t="s">
        <v>426</v>
      </c>
      <c r="G15" s="5" t="s">
        <v>427</v>
      </c>
      <c r="H15" s="5" t="s">
        <v>428</v>
      </c>
    </row>
    <row r="16" customFormat="false" ht="33.75" hidden="false" customHeight="true" outlineLevel="0" collapsed="false">
      <c r="A16" s="26" t="s">
        <v>422</v>
      </c>
      <c r="B16" s="16" t="s">
        <v>329</v>
      </c>
      <c r="C16" s="26" t="n">
        <f aca="false">INDEX('Security Matrix'!$M$6:$M$18,MATCH(B16,'Security Matrix'!$A$6:$A$18,0))</f>
        <v>5</v>
      </c>
      <c r="D16" s="26" t="n">
        <f aca="false">INDEX('Security Matrix'!$N$6:$N$18,MATCH(B16,'Security Matrix'!$A$6:$A$18,0))</f>
        <v>5</v>
      </c>
      <c r="E16" s="24" t="str">
        <f aca="false">INDEX('Security Matrix'!$O$6:$O$18,MATCH(B16,'Security Matrix'!$A$6:$A$18,0))</f>
        <v>Not rated</v>
      </c>
      <c r="F16" s="5" t="s">
        <v>429</v>
      </c>
      <c r="G16" s="5" t="s">
        <v>430</v>
      </c>
      <c r="H16" s="5" t="s">
        <v>247</v>
      </c>
    </row>
    <row r="17" customFormat="false" ht="33.75" hidden="false" customHeight="true" outlineLevel="0" collapsed="false">
      <c r="A17" s="26" t="s">
        <v>422</v>
      </c>
      <c r="B17" s="16" t="s">
        <v>256</v>
      </c>
      <c r="C17" s="26" t="n">
        <f aca="false">INDEX('Security Matrix'!$M$6:$M$18,MATCH(B17,'Security Matrix'!$A$6:$A$18,0))</f>
        <v>2</v>
      </c>
      <c r="D17" s="26" t="n">
        <f aca="false">INDEX('Security Matrix'!$N$6:$N$18,MATCH(B17,'Security Matrix'!$A$6:$A$18,0))</f>
        <v>1</v>
      </c>
      <c r="E17" s="24" t="str">
        <f aca="false">INDEX('Security Matrix'!$O$6:$O$18,MATCH(B17,'Security Matrix'!$A$6:$A$18,0))</f>
        <v>Not rated</v>
      </c>
      <c r="F17" s="5" t="s">
        <v>431</v>
      </c>
      <c r="G17" s="5" t="s">
        <v>432</v>
      </c>
      <c r="H17" s="5" t="s">
        <v>433</v>
      </c>
    </row>
    <row r="19" customFormat="false" ht="15" hidden="false" customHeight="false" outlineLevel="0" collapsed="false">
      <c r="A19" s="27" t="s">
        <v>434</v>
      </c>
    </row>
  </sheetData>
  <conditionalFormatting sqref="E5:E17">
    <cfRule type="cellIs" priority="2" operator="equal" aboveAverage="0" equalAverage="0" bottom="0" percent="0" rank="0" text="" dxfId="11">
      <formula>"High"</formula>
    </cfRule>
    <cfRule type="cellIs" priority="3" operator="equal" aboveAverage="0" equalAverage="0" bottom="0" percent="0" rank="0" text="" dxfId="12">
      <formula>"Medium"</formula>
    </cfRule>
    <cfRule type="cellIs" priority="4" operator="equal" aboveAverage="0" equalAverage="0" bottom="0" percent="0" rank="0" text="" dxfId="13">
      <formula>"Low"</formula>
    </cfRule>
    <cfRule type="cellIs" priority="5" operator="equal" aboveAverage="0" equalAverage="0" bottom="0" percent="0" rank="0" text="" dxfId="14">
      <formula>"Not rated"</formula>
    </cfRule>
  </conditionalFormatting>
  <conditionalFormatting sqref="C5:C17">
    <cfRule type="dataBar" priority="6">
      <dataBar showValue="1" minLength="10" maxLength="90">
        <cfvo type="num" val="0"/>
        <cfvo type="num" val="20"/>
        <color rgb="FF5B9BD5"/>
      </dataBar>
      <extLst>
        <ext xmlns:x14="http://schemas.microsoft.com/office/spreadsheetml/2009/9/main" uri="{B025F937-C7B1-47D3-B67F-A62EFF666E3E}">
          <x14:id>{C5DD7980-9510-4FB7-8A78-DDB91B19B038}</x14:id>
        </ext>
      </extLst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DD7980-9510-4FB7-8A78-DDB91B19B038}">
            <x14:dataBar minLength="10" maxLength="90" axisPosition="none" gradient="true">
              <x14:cfvo type="num">
                <xm:f>0</xm:f>
              </x14:cfvo>
              <x14:cfvo type="num">
                <xm:f>20</xm:f>
              </x14:cfvo>
              <x14:negativeFillColor rgb="FF5B9BD5"/>
              <x14:axisColor rgb="FF000000"/>
            </x14:dataBar>
          </x14:cfRule>
          <xm:sqref>C5:C17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2"/>
  </cols>
  <sheetData>
    <row r="1" customFormat="false" ht="24" hidden="false" customHeight="true" outlineLevel="0" collapsed="false">
      <c r="A1" s="14" t="s">
        <v>435</v>
      </c>
    </row>
    <row r="2" customFormat="false" ht="15" hidden="false" customHeight="false" outlineLevel="0" collapsed="false">
      <c r="A2" s="2" t="s">
        <v>436</v>
      </c>
    </row>
    <row r="4" customFormat="false" ht="31.5" hidden="false" customHeight="true" outlineLevel="0" collapsed="false">
      <c r="A4" s="15" t="s">
        <v>437</v>
      </c>
      <c r="B4" s="15" t="s">
        <v>438</v>
      </c>
      <c r="C4" s="15" t="s">
        <v>439</v>
      </c>
      <c r="D4" s="15" t="s">
        <v>440</v>
      </c>
      <c r="E4" s="15" t="s">
        <v>441</v>
      </c>
      <c r="F4" s="15" t="s">
        <v>442</v>
      </c>
      <c r="G4" s="15" t="s">
        <v>443</v>
      </c>
      <c r="H4" s="15" t="s">
        <v>444</v>
      </c>
      <c r="I4" s="15" t="s">
        <v>128</v>
      </c>
    </row>
    <row r="5" customFormat="false" ht="31.5" hidden="false" customHeight="true" outlineLevel="0" collapsed="false">
      <c r="A5" s="16" t="s">
        <v>445</v>
      </c>
      <c r="B5" s="5" t="s">
        <v>446</v>
      </c>
      <c r="C5" s="5" t="s">
        <v>447</v>
      </c>
      <c r="D5" s="5" t="s">
        <v>448</v>
      </c>
      <c r="E5" s="5" t="s">
        <v>449</v>
      </c>
      <c r="F5" s="5" t="s">
        <v>450</v>
      </c>
      <c r="G5" s="5" t="s">
        <v>451</v>
      </c>
      <c r="H5" s="26" t="s">
        <v>452</v>
      </c>
      <c r="I5" s="26" t="s">
        <v>453</v>
      </c>
    </row>
    <row r="6" customFormat="false" ht="45" hidden="false" customHeight="true" outlineLevel="0" collapsed="false">
      <c r="A6" s="17" t="s">
        <v>454</v>
      </c>
      <c r="B6" s="18" t="s">
        <v>455</v>
      </c>
      <c r="C6" s="18" t="s">
        <v>456</v>
      </c>
      <c r="D6" s="18" t="s">
        <v>457</v>
      </c>
      <c r="E6" s="18" t="s">
        <v>458</v>
      </c>
      <c r="F6" s="18" t="s">
        <v>459</v>
      </c>
      <c r="G6" s="18" t="s">
        <v>451</v>
      </c>
      <c r="H6" s="28" t="s">
        <v>460</v>
      </c>
      <c r="I6" s="28" t="s">
        <v>453</v>
      </c>
    </row>
    <row r="7" customFormat="false" ht="31.5" hidden="false" customHeight="true" outlineLevel="0" collapsed="false">
      <c r="A7" s="16" t="s">
        <v>461</v>
      </c>
      <c r="B7" s="5" t="s">
        <v>455</v>
      </c>
      <c r="C7" s="5" t="s">
        <v>462</v>
      </c>
      <c r="D7" s="5" t="s">
        <v>463</v>
      </c>
      <c r="E7" s="5" t="s">
        <v>464</v>
      </c>
      <c r="F7" s="5" t="s">
        <v>465</v>
      </c>
      <c r="G7" s="5" t="s">
        <v>84</v>
      </c>
      <c r="H7" s="26" t="s">
        <v>452</v>
      </c>
      <c r="I7" s="26" t="s">
        <v>466</v>
      </c>
    </row>
    <row r="8" customFormat="false" ht="31.5" hidden="false" customHeight="true" outlineLevel="0" collapsed="false">
      <c r="A8" s="17" t="s">
        <v>467</v>
      </c>
      <c r="B8" s="18" t="s">
        <v>455</v>
      </c>
      <c r="C8" s="18" t="s">
        <v>462</v>
      </c>
      <c r="D8" s="18" t="s">
        <v>468</v>
      </c>
      <c r="E8" s="18" t="s">
        <v>469</v>
      </c>
      <c r="F8" s="18" t="s">
        <v>470</v>
      </c>
      <c r="G8" s="18" t="s">
        <v>451</v>
      </c>
      <c r="H8" s="28" t="s">
        <v>452</v>
      </c>
      <c r="I8" s="28" t="s">
        <v>471</v>
      </c>
    </row>
    <row r="9" customFormat="false" ht="31.5" hidden="false" customHeight="true" outlineLevel="0" collapsed="false">
      <c r="A9" s="16" t="s">
        <v>472</v>
      </c>
      <c r="B9" s="5" t="s">
        <v>473</v>
      </c>
      <c r="C9" s="5" t="s">
        <v>474</v>
      </c>
      <c r="D9" s="5" t="s">
        <v>475</v>
      </c>
      <c r="E9" s="5" t="s">
        <v>476</v>
      </c>
      <c r="F9" s="5" t="s">
        <v>477</v>
      </c>
      <c r="G9" s="5" t="s">
        <v>478</v>
      </c>
      <c r="H9" s="26" t="s">
        <v>452</v>
      </c>
      <c r="I9" s="26" t="s">
        <v>466</v>
      </c>
    </row>
    <row r="10" customFormat="false" ht="31.5" hidden="false" customHeight="true" outlineLevel="0" collapsed="false">
      <c r="A10" s="17" t="s">
        <v>479</v>
      </c>
      <c r="B10" s="18" t="s">
        <v>480</v>
      </c>
      <c r="C10" s="18" t="s">
        <v>481</v>
      </c>
      <c r="D10" s="18" t="s">
        <v>482</v>
      </c>
      <c r="E10" s="18" t="s">
        <v>483</v>
      </c>
      <c r="F10" s="18" t="s">
        <v>484</v>
      </c>
      <c r="G10" s="18" t="s">
        <v>84</v>
      </c>
      <c r="H10" s="28" t="s">
        <v>485</v>
      </c>
      <c r="I10" s="28" t="s">
        <v>486</v>
      </c>
    </row>
    <row r="11" customFormat="false" ht="31.5" hidden="false" customHeight="true" outlineLevel="0" collapsed="false">
      <c r="A11" s="16" t="s">
        <v>487</v>
      </c>
      <c r="B11" s="5" t="s">
        <v>488</v>
      </c>
      <c r="C11" s="5" t="s">
        <v>489</v>
      </c>
      <c r="D11" s="5" t="s">
        <v>490</v>
      </c>
      <c r="E11" s="5" t="s">
        <v>491</v>
      </c>
      <c r="F11" s="5" t="s">
        <v>470</v>
      </c>
      <c r="G11" s="5" t="s">
        <v>451</v>
      </c>
      <c r="H11" s="26" t="s">
        <v>485</v>
      </c>
      <c r="I11" s="26" t="s">
        <v>492</v>
      </c>
    </row>
    <row r="12" customFormat="false" ht="31.5" hidden="false" customHeight="true" outlineLevel="0" collapsed="false">
      <c r="A12" s="17" t="s">
        <v>493</v>
      </c>
      <c r="B12" s="18" t="s">
        <v>494</v>
      </c>
      <c r="C12" s="18" t="s">
        <v>495</v>
      </c>
      <c r="D12" s="18" t="s">
        <v>496</v>
      </c>
      <c r="E12" s="18" t="s">
        <v>497</v>
      </c>
      <c r="F12" s="18" t="s">
        <v>498</v>
      </c>
      <c r="G12" s="18" t="s">
        <v>84</v>
      </c>
      <c r="H12" s="28" t="s">
        <v>452</v>
      </c>
      <c r="I12" s="28" t="s">
        <v>466</v>
      </c>
    </row>
    <row r="13" customFormat="false" ht="45" hidden="false" customHeight="true" outlineLevel="0" collapsed="false">
      <c r="A13" s="16" t="s">
        <v>499</v>
      </c>
      <c r="B13" s="5" t="s">
        <v>500</v>
      </c>
      <c r="C13" s="5" t="s">
        <v>501</v>
      </c>
      <c r="D13" s="5" t="s">
        <v>502</v>
      </c>
      <c r="E13" s="5" t="s">
        <v>503</v>
      </c>
      <c r="F13" s="5" t="s">
        <v>504</v>
      </c>
      <c r="G13" s="5" t="s">
        <v>84</v>
      </c>
      <c r="H13" s="26" t="s">
        <v>485</v>
      </c>
      <c r="I13" s="26" t="s">
        <v>466</v>
      </c>
    </row>
    <row r="14" customFormat="false" ht="31.5" hidden="false" customHeight="true" outlineLevel="0" collapsed="false">
      <c r="A14" s="17" t="s">
        <v>505</v>
      </c>
      <c r="B14" s="18" t="s">
        <v>506</v>
      </c>
      <c r="C14" s="18" t="s">
        <v>507</v>
      </c>
      <c r="D14" s="18" t="s">
        <v>508</v>
      </c>
      <c r="E14" s="18" t="s">
        <v>509</v>
      </c>
      <c r="F14" s="18" t="s">
        <v>510</v>
      </c>
      <c r="G14" s="18" t="s">
        <v>84</v>
      </c>
      <c r="H14" s="28" t="s">
        <v>452</v>
      </c>
      <c r="I14" s="28" t="s">
        <v>511</v>
      </c>
    </row>
    <row r="15" customFormat="false" ht="45" hidden="false" customHeight="true" outlineLevel="0" collapsed="false">
      <c r="A15" s="16" t="s">
        <v>512</v>
      </c>
      <c r="B15" s="5" t="s">
        <v>513</v>
      </c>
      <c r="C15" s="5" t="s">
        <v>514</v>
      </c>
      <c r="D15" s="5" t="s">
        <v>515</v>
      </c>
      <c r="E15" s="5" t="s">
        <v>516</v>
      </c>
      <c r="F15" s="5" t="s">
        <v>470</v>
      </c>
      <c r="G15" s="5" t="s">
        <v>84</v>
      </c>
      <c r="H15" s="26" t="s">
        <v>452</v>
      </c>
      <c r="I15" s="26" t="s">
        <v>471</v>
      </c>
    </row>
    <row r="16" customFormat="false" ht="45" hidden="false" customHeight="true" outlineLevel="0" collapsed="false">
      <c r="A16" s="17" t="s">
        <v>517</v>
      </c>
      <c r="B16" s="18" t="s">
        <v>446</v>
      </c>
      <c r="C16" s="18" t="s">
        <v>518</v>
      </c>
      <c r="D16" s="18" t="s">
        <v>519</v>
      </c>
      <c r="E16" s="18" t="s">
        <v>520</v>
      </c>
      <c r="F16" s="18" t="s">
        <v>498</v>
      </c>
      <c r="G16" s="18" t="s">
        <v>451</v>
      </c>
      <c r="H16" s="28" t="s">
        <v>521</v>
      </c>
      <c r="I16" s="28" t="s">
        <v>522</v>
      </c>
    </row>
    <row r="17" customFormat="false" ht="45" hidden="false" customHeight="true" outlineLevel="0" collapsed="false">
      <c r="A17" s="16" t="s">
        <v>523</v>
      </c>
      <c r="B17" s="5" t="s">
        <v>524</v>
      </c>
      <c r="C17" s="5" t="s">
        <v>525</v>
      </c>
      <c r="D17" s="5" t="s">
        <v>526</v>
      </c>
      <c r="E17" s="5" t="s">
        <v>527</v>
      </c>
      <c r="F17" s="5" t="s">
        <v>470</v>
      </c>
      <c r="G17" s="5" t="s">
        <v>84</v>
      </c>
      <c r="H17" s="26" t="s">
        <v>485</v>
      </c>
      <c r="I17" s="26" t="s">
        <v>528</v>
      </c>
    </row>
    <row r="18" customFormat="false" ht="31.5" hidden="false" customHeight="true" outlineLevel="0" collapsed="false">
      <c r="A18" s="17" t="s">
        <v>529</v>
      </c>
      <c r="B18" s="18" t="s">
        <v>530</v>
      </c>
      <c r="C18" s="18" t="s">
        <v>531</v>
      </c>
      <c r="D18" s="18" t="s">
        <v>532</v>
      </c>
      <c r="E18" s="18" t="s">
        <v>533</v>
      </c>
      <c r="F18" s="18" t="s">
        <v>504</v>
      </c>
      <c r="G18" s="18" t="s">
        <v>84</v>
      </c>
      <c r="H18" s="28" t="s">
        <v>485</v>
      </c>
      <c r="I18" s="28" t="s">
        <v>534</v>
      </c>
    </row>
    <row r="19" customFormat="false" ht="31.5" hidden="false" customHeight="true" outlineLevel="0" collapsed="false">
      <c r="A19" s="16" t="s">
        <v>535</v>
      </c>
      <c r="B19" s="5" t="s">
        <v>536</v>
      </c>
      <c r="C19" s="5" t="s">
        <v>531</v>
      </c>
      <c r="D19" s="5" t="s">
        <v>537</v>
      </c>
      <c r="E19" s="5" t="s">
        <v>538</v>
      </c>
      <c r="F19" s="5" t="s">
        <v>539</v>
      </c>
      <c r="G19" s="5" t="s">
        <v>84</v>
      </c>
      <c r="H19" s="26" t="s">
        <v>521</v>
      </c>
      <c r="I19" s="26" t="s">
        <v>540</v>
      </c>
    </row>
    <row r="20" customFormat="false" ht="31.5" hidden="false" customHeight="true" outlineLevel="0" collapsed="false">
      <c r="A20" s="17" t="s">
        <v>541</v>
      </c>
      <c r="B20" s="18" t="s">
        <v>542</v>
      </c>
      <c r="C20" s="18" t="s">
        <v>531</v>
      </c>
      <c r="D20" s="18" t="s">
        <v>543</v>
      </c>
      <c r="E20" s="18" t="s">
        <v>544</v>
      </c>
      <c r="F20" s="18" t="s">
        <v>545</v>
      </c>
      <c r="G20" s="18" t="s">
        <v>546</v>
      </c>
      <c r="H20" s="28" t="s">
        <v>460</v>
      </c>
      <c r="I20" s="28" t="s">
        <v>547</v>
      </c>
    </row>
  </sheetData>
  <autoFilter ref="A4:I20"/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20"/>
  </cols>
  <sheetData>
    <row r="1" customFormat="false" ht="24" hidden="false" customHeight="true" outlineLevel="0" collapsed="false">
      <c r="A1" s="14" t="s">
        <v>548</v>
      </c>
    </row>
    <row r="2" customFormat="false" ht="15" hidden="false" customHeight="false" outlineLevel="0" collapsed="false">
      <c r="A2" s="2" t="s">
        <v>549</v>
      </c>
    </row>
    <row r="4" customFormat="false" ht="31.5" hidden="false" customHeight="true" outlineLevel="0" collapsed="false">
      <c r="A4" s="15" t="s">
        <v>550</v>
      </c>
      <c r="B4" s="15" t="s">
        <v>551</v>
      </c>
      <c r="C4" s="15" t="s">
        <v>552</v>
      </c>
      <c r="D4" s="15" t="s">
        <v>553</v>
      </c>
      <c r="E4" s="15" t="s">
        <v>128</v>
      </c>
    </row>
    <row r="5" customFormat="false" ht="31.5" hidden="false" customHeight="true" outlineLevel="0" collapsed="false">
      <c r="A5" s="29" t="s">
        <v>442</v>
      </c>
      <c r="B5" s="24" t="s">
        <v>498</v>
      </c>
      <c r="C5" s="5" t="s">
        <v>554</v>
      </c>
      <c r="D5" s="5" t="s">
        <v>555</v>
      </c>
      <c r="E5" s="5" t="s">
        <v>556</v>
      </c>
    </row>
    <row r="6" customFormat="false" ht="19.5" hidden="false" customHeight="true" outlineLevel="0" collapsed="false">
      <c r="A6" s="29" t="s">
        <v>442</v>
      </c>
      <c r="B6" s="24" t="s">
        <v>510</v>
      </c>
      <c r="C6" s="5" t="s">
        <v>557</v>
      </c>
      <c r="D6" s="5" t="s">
        <v>558</v>
      </c>
      <c r="E6" s="5" t="s">
        <v>559</v>
      </c>
    </row>
    <row r="7" customFormat="false" ht="31.5" hidden="false" customHeight="true" outlineLevel="0" collapsed="false">
      <c r="A7" s="29" t="s">
        <v>442</v>
      </c>
      <c r="B7" s="24" t="s">
        <v>560</v>
      </c>
      <c r="C7" s="5" t="s">
        <v>561</v>
      </c>
      <c r="D7" s="5" t="s">
        <v>562</v>
      </c>
      <c r="E7" s="5" t="s">
        <v>559</v>
      </c>
    </row>
    <row r="8" customFormat="false" ht="31.5" hidden="false" customHeight="true" outlineLevel="0" collapsed="false">
      <c r="A8" s="29" t="s">
        <v>442</v>
      </c>
      <c r="B8" s="24" t="s">
        <v>539</v>
      </c>
      <c r="C8" s="5" t="s">
        <v>563</v>
      </c>
      <c r="D8" s="5" t="s">
        <v>564</v>
      </c>
      <c r="E8" s="5" t="s">
        <v>559</v>
      </c>
    </row>
    <row r="9" customFormat="false" ht="19.5" hidden="false" customHeight="true" outlineLevel="0" collapsed="false">
      <c r="A9" s="29" t="s">
        <v>442</v>
      </c>
      <c r="B9" s="24" t="s">
        <v>465</v>
      </c>
      <c r="C9" s="5" t="s">
        <v>565</v>
      </c>
      <c r="D9" s="5" t="s">
        <v>566</v>
      </c>
      <c r="E9" s="5" t="s">
        <v>559</v>
      </c>
    </row>
    <row r="10" customFormat="false" ht="19.5" hidden="false" customHeight="true" outlineLevel="0" collapsed="false">
      <c r="A10" s="29" t="s">
        <v>442</v>
      </c>
      <c r="B10" s="24" t="s">
        <v>567</v>
      </c>
      <c r="C10" s="5" t="s">
        <v>568</v>
      </c>
      <c r="D10" s="5" t="s">
        <v>569</v>
      </c>
      <c r="E10" s="5" t="s">
        <v>559</v>
      </c>
    </row>
    <row r="11" customFormat="false" ht="31.5" hidden="false" customHeight="true" outlineLevel="0" collapsed="false">
      <c r="A11" s="29" t="s">
        <v>442</v>
      </c>
      <c r="B11" s="24" t="s">
        <v>570</v>
      </c>
      <c r="C11" s="5" t="s">
        <v>571</v>
      </c>
      <c r="D11" s="5" t="s">
        <v>572</v>
      </c>
      <c r="E11" s="5" t="s">
        <v>573</v>
      </c>
    </row>
    <row r="12" customFormat="false" ht="19.5" hidden="false" customHeight="true" outlineLevel="0" collapsed="false">
      <c r="A12" s="29" t="s">
        <v>442</v>
      </c>
      <c r="B12" s="24" t="s">
        <v>574</v>
      </c>
      <c r="C12" s="5" t="s">
        <v>575</v>
      </c>
      <c r="D12" s="5" t="s">
        <v>576</v>
      </c>
      <c r="E12" s="5" t="s">
        <v>577</v>
      </c>
    </row>
    <row r="13" customFormat="false" ht="31.5" hidden="false" customHeight="true" outlineLevel="0" collapsed="false">
      <c r="A13" s="29" t="s">
        <v>442</v>
      </c>
      <c r="B13" s="24" t="s">
        <v>578</v>
      </c>
      <c r="C13" s="5" t="s">
        <v>579</v>
      </c>
      <c r="D13" s="5" t="s">
        <v>580</v>
      </c>
      <c r="E13" s="5" t="s">
        <v>577</v>
      </c>
    </row>
    <row r="14" customFormat="false" ht="19.5" hidden="false" customHeight="true" outlineLevel="0" collapsed="false">
      <c r="A14" s="30" t="s">
        <v>443</v>
      </c>
      <c r="B14" s="24" t="s">
        <v>451</v>
      </c>
      <c r="C14" s="5" t="s">
        <v>581</v>
      </c>
      <c r="D14" s="5" t="s">
        <v>582</v>
      </c>
      <c r="E14" s="5" t="s">
        <v>573</v>
      </c>
    </row>
    <row r="15" customFormat="false" ht="31.5" hidden="false" customHeight="true" outlineLevel="0" collapsed="false">
      <c r="A15" s="30" t="s">
        <v>443</v>
      </c>
      <c r="B15" s="24" t="s">
        <v>478</v>
      </c>
      <c r="C15" s="5" t="s">
        <v>583</v>
      </c>
      <c r="D15" s="5" t="s">
        <v>584</v>
      </c>
      <c r="E15" s="5" t="s">
        <v>585</v>
      </c>
    </row>
    <row r="16" customFormat="false" ht="19.5" hidden="false" customHeight="true" outlineLevel="0" collapsed="false">
      <c r="A16" s="31" t="s">
        <v>444</v>
      </c>
      <c r="B16" s="24" t="s">
        <v>485</v>
      </c>
      <c r="C16" s="5" t="s">
        <v>586</v>
      </c>
      <c r="D16" s="5" t="s">
        <v>587</v>
      </c>
      <c r="E16" s="5" t="s">
        <v>588</v>
      </c>
    </row>
    <row r="17" customFormat="false" ht="31.5" hidden="false" customHeight="true" outlineLevel="0" collapsed="false">
      <c r="A17" s="31" t="s">
        <v>444</v>
      </c>
      <c r="B17" s="24" t="s">
        <v>589</v>
      </c>
      <c r="C17" s="5" t="s">
        <v>590</v>
      </c>
      <c r="D17" s="5" t="s">
        <v>591</v>
      </c>
      <c r="E17" s="5" t="s">
        <v>588</v>
      </c>
    </row>
    <row r="18" customFormat="false" ht="19.5" hidden="false" customHeight="true" outlineLevel="0" collapsed="false">
      <c r="A18" s="31" t="s">
        <v>444</v>
      </c>
      <c r="B18" s="24" t="s">
        <v>592</v>
      </c>
      <c r="C18" s="5" t="s">
        <v>593</v>
      </c>
      <c r="D18" s="5" t="s">
        <v>594</v>
      </c>
      <c r="E18" s="5" t="s">
        <v>595</v>
      </c>
    </row>
    <row r="19" customFormat="false" ht="19.5" hidden="false" customHeight="true" outlineLevel="0" collapsed="false">
      <c r="A19" s="31" t="s">
        <v>444</v>
      </c>
      <c r="B19" s="24" t="s">
        <v>596</v>
      </c>
      <c r="C19" s="5" t="s">
        <v>597</v>
      </c>
      <c r="D19" s="5" t="s">
        <v>598</v>
      </c>
      <c r="E19" s="5" t="s">
        <v>595</v>
      </c>
    </row>
    <row r="20" customFormat="false" ht="31.5" hidden="false" customHeight="true" outlineLevel="0" collapsed="false">
      <c r="A20" s="31" t="s">
        <v>444</v>
      </c>
      <c r="B20" s="24" t="s">
        <v>599</v>
      </c>
      <c r="C20" s="5" t="s">
        <v>600</v>
      </c>
      <c r="D20" s="5" t="s">
        <v>601</v>
      </c>
      <c r="E20" s="5" t="s">
        <v>595</v>
      </c>
    </row>
    <row r="22" customFormat="false" ht="15" hidden="false" customHeight="false" outlineLevel="0" collapsed="false">
      <c r="A22" s="2" t="s">
        <v>602</v>
      </c>
    </row>
  </sheetData>
  <autoFilter ref="A4:E20"/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66"/>
    <col collapsed="false" customWidth="true" hidden="false" outlineLevel="0" max="4" min="4" style="0" width="54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24" hidden="false" customHeight="true" outlineLevel="0" collapsed="false">
      <c r="A1" s="14" t="s">
        <v>29</v>
      </c>
    </row>
    <row r="2" customFormat="false" ht="15" hidden="false" customHeight="false" outlineLevel="0" collapsed="false">
      <c r="A2" s="2" t="s">
        <v>603</v>
      </c>
    </row>
    <row r="4" customFormat="false" ht="31.5" hidden="false" customHeight="true" outlineLevel="0" collapsed="false">
      <c r="A4" s="15" t="s">
        <v>604</v>
      </c>
      <c r="B4" s="15" t="s">
        <v>605</v>
      </c>
      <c r="C4" s="15" t="s">
        <v>606</v>
      </c>
      <c r="D4" s="15" t="s">
        <v>607</v>
      </c>
      <c r="E4" s="15" t="s">
        <v>442</v>
      </c>
      <c r="F4" s="15" t="s">
        <v>444</v>
      </c>
      <c r="G4" s="15" t="s">
        <v>128</v>
      </c>
    </row>
    <row r="5" customFormat="false" ht="57.75" hidden="false" customHeight="true" outlineLevel="0" collapsed="false">
      <c r="A5" s="16" t="s">
        <v>608</v>
      </c>
      <c r="B5" s="5" t="s">
        <v>609</v>
      </c>
      <c r="C5" s="5" t="s">
        <v>610</v>
      </c>
      <c r="D5" s="5" t="s">
        <v>611</v>
      </c>
      <c r="E5" s="26" t="s">
        <v>498</v>
      </c>
      <c r="F5" s="26" t="s">
        <v>589</v>
      </c>
      <c r="G5" s="26" t="s">
        <v>612</v>
      </c>
    </row>
    <row r="6" customFormat="false" ht="45" hidden="false" customHeight="true" outlineLevel="0" collapsed="false">
      <c r="A6" s="17" t="s">
        <v>613</v>
      </c>
      <c r="B6" s="18" t="s">
        <v>614</v>
      </c>
      <c r="C6" s="18" t="s">
        <v>615</v>
      </c>
      <c r="D6" s="18" t="s">
        <v>616</v>
      </c>
      <c r="E6" s="28" t="s">
        <v>498</v>
      </c>
      <c r="F6" s="28" t="s">
        <v>485</v>
      </c>
      <c r="G6" s="28" t="s">
        <v>453</v>
      </c>
    </row>
    <row r="7" customFormat="false" ht="45" hidden="false" customHeight="true" outlineLevel="0" collapsed="false">
      <c r="A7" s="16" t="s">
        <v>617</v>
      </c>
      <c r="B7" s="5" t="s">
        <v>618</v>
      </c>
      <c r="C7" s="5" t="s">
        <v>619</v>
      </c>
      <c r="D7" s="5" t="s">
        <v>620</v>
      </c>
      <c r="E7" s="26" t="s">
        <v>465</v>
      </c>
      <c r="F7" s="26" t="s">
        <v>621</v>
      </c>
      <c r="G7" s="26" t="s">
        <v>622</v>
      </c>
    </row>
    <row r="8" customFormat="false" ht="45" hidden="false" customHeight="true" outlineLevel="0" collapsed="false">
      <c r="A8" s="17" t="s">
        <v>623</v>
      </c>
      <c r="B8" s="18" t="s">
        <v>247</v>
      </c>
      <c r="C8" s="18" t="s">
        <v>624</v>
      </c>
      <c r="D8" s="18" t="s">
        <v>625</v>
      </c>
      <c r="E8" s="28" t="s">
        <v>504</v>
      </c>
      <c r="F8" s="28" t="s">
        <v>485</v>
      </c>
      <c r="G8" s="28" t="s">
        <v>626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tru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6"/>
    <col collapsed="false" customWidth="true" hidden="false" outlineLevel="0" max="4" min="4" style="0" width="52"/>
    <col collapsed="false" customWidth="true" hidden="false" outlineLevel="0" max="5" min="5" style="0" width="14"/>
  </cols>
  <sheetData>
    <row r="1" customFormat="false" ht="24" hidden="false" customHeight="true" outlineLevel="0" collapsed="false">
      <c r="A1" s="14" t="s">
        <v>627</v>
      </c>
    </row>
    <row r="2" customFormat="false" ht="15" hidden="false" customHeight="false" outlineLevel="0" collapsed="false">
      <c r="A2" s="2" t="s">
        <v>628</v>
      </c>
    </row>
    <row r="4" customFormat="false" ht="31.5" hidden="false" customHeight="true" outlineLevel="0" collapsed="false">
      <c r="A4" s="15" t="s">
        <v>629</v>
      </c>
      <c r="B4" s="15" t="s">
        <v>630</v>
      </c>
      <c r="C4" s="15" t="s">
        <v>631</v>
      </c>
      <c r="D4" s="15" t="s">
        <v>632</v>
      </c>
      <c r="E4" s="15" t="s">
        <v>128</v>
      </c>
    </row>
    <row r="5" customFormat="false" ht="31.5" hidden="false" customHeight="true" outlineLevel="0" collapsed="false">
      <c r="A5" s="24" t="s">
        <v>633</v>
      </c>
      <c r="B5" s="5" t="s">
        <v>271</v>
      </c>
      <c r="C5" s="5" t="s">
        <v>634</v>
      </c>
      <c r="D5" s="5" t="s">
        <v>635</v>
      </c>
      <c r="E5" s="26" t="s">
        <v>636</v>
      </c>
    </row>
    <row r="6" customFormat="false" ht="31.5" hidden="false" customHeight="true" outlineLevel="0" collapsed="false">
      <c r="A6" s="32" t="s">
        <v>637</v>
      </c>
      <c r="B6" s="18" t="s">
        <v>638</v>
      </c>
      <c r="C6" s="18" t="s">
        <v>639</v>
      </c>
      <c r="D6" s="18" t="s">
        <v>640</v>
      </c>
      <c r="E6" s="28" t="s">
        <v>641</v>
      </c>
    </row>
    <row r="7" customFormat="false" ht="19.5" hidden="false" customHeight="true" outlineLevel="0" collapsed="false">
      <c r="A7" s="24" t="s">
        <v>642</v>
      </c>
      <c r="B7" s="5" t="s">
        <v>109</v>
      </c>
      <c r="C7" s="5" t="s">
        <v>643</v>
      </c>
      <c r="D7" s="5" t="s">
        <v>644</v>
      </c>
      <c r="E7" s="26" t="s">
        <v>622</v>
      </c>
    </row>
    <row r="8" customFormat="false" ht="19.5" hidden="false" customHeight="true" outlineLevel="0" collapsed="false">
      <c r="A8" s="32" t="s">
        <v>637</v>
      </c>
      <c r="B8" s="18" t="s">
        <v>645</v>
      </c>
      <c r="C8" s="18" t="s">
        <v>646</v>
      </c>
      <c r="D8" s="18" t="s">
        <v>647</v>
      </c>
      <c r="E8" s="28" t="s">
        <v>333</v>
      </c>
    </row>
    <row r="9" customFormat="false" ht="19.5" hidden="false" customHeight="true" outlineLevel="0" collapsed="false">
      <c r="A9" s="24" t="s">
        <v>648</v>
      </c>
      <c r="B9" s="5" t="s">
        <v>109</v>
      </c>
      <c r="C9" s="5" t="s">
        <v>649</v>
      </c>
      <c r="D9" s="5" t="s">
        <v>650</v>
      </c>
      <c r="E9" s="26" t="s">
        <v>622</v>
      </c>
    </row>
    <row r="10" customFormat="false" ht="19.5" hidden="false" customHeight="true" outlineLevel="0" collapsed="false">
      <c r="A10" s="32" t="s">
        <v>651</v>
      </c>
      <c r="B10" s="18" t="s">
        <v>652</v>
      </c>
      <c r="C10" s="18" t="s">
        <v>653</v>
      </c>
      <c r="D10" s="18" t="s">
        <v>654</v>
      </c>
      <c r="E10" s="28" t="s">
        <v>522</v>
      </c>
    </row>
    <row r="11" customFormat="false" ht="19.5" hidden="false" customHeight="true" outlineLevel="0" collapsed="false">
      <c r="A11" s="24" t="s">
        <v>655</v>
      </c>
      <c r="B11" s="5" t="s">
        <v>85</v>
      </c>
      <c r="C11" s="5" t="s">
        <v>656</v>
      </c>
      <c r="D11" s="5" t="s">
        <v>657</v>
      </c>
      <c r="E11" s="26" t="s">
        <v>658</v>
      </c>
    </row>
    <row r="12" customFormat="false" ht="31.5" hidden="false" customHeight="true" outlineLevel="0" collapsed="false">
      <c r="A12" s="32" t="s">
        <v>659</v>
      </c>
      <c r="B12" s="18" t="s">
        <v>150</v>
      </c>
      <c r="C12" s="18" t="s">
        <v>660</v>
      </c>
      <c r="D12" s="18" t="s">
        <v>661</v>
      </c>
      <c r="E12" s="28" t="s">
        <v>662</v>
      </c>
    </row>
    <row r="13" customFormat="false" ht="31.5" hidden="false" customHeight="true" outlineLevel="0" collapsed="false">
      <c r="A13" s="24" t="s">
        <v>663</v>
      </c>
      <c r="B13" s="5" t="s">
        <v>664</v>
      </c>
      <c r="C13" s="5" t="s">
        <v>665</v>
      </c>
      <c r="D13" s="5" t="s">
        <v>666</v>
      </c>
      <c r="E13" s="26" t="s">
        <v>667</v>
      </c>
    </row>
    <row r="14" customFormat="false" ht="19.5" hidden="false" customHeight="true" outlineLevel="0" collapsed="false">
      <c r="A14" s="32" t="s">
        <v>668</v>
      </c>
      <c r="B14" s="18" t="s">
        <v>669</v>
      </c>
      <c r="C14" s="18" t="s">
        <v>670</v>
      </c>
      <c r="D14" s="18" t="s">
        <v>671</v>
      </c>
      <c r="E14" s="28" t="s">
        <v>662</v>
      </c>
    </row>
    <row r="15" customFormat="false" ht="19.5" hidden="false" customHeight="true" outlineLevel="0" collapsed="false">
      <c r="A15" s="24" t="s">
        <v>672</v>
      </c>
      <c r="B15" s="5" t="s">
        <v>109</v>
      </c>
      <c r="C15" s="5" t="s">
        <v>673</v>
      </c>
      <c r="D15" s="5" t="s">
        <v>674</v>
      </c>
      <c r="E15" s="26" t="s">
        <v>622</v>
      </c>
    </row>
    <row r="16" customFormat="false" ht="19.5" hidden="false" customHeight="true" outlineLevel="0" collapsed="false">
      <c r="A16" s="32" t="s">
        <v>675</v>
      </c>
      <c r="B16" s="18" t="s">
        <v>676</v>
      </c>
      <c r="C16" s="18" t="s">
        <v>677</v>
      </c>
      <c r="D16" s="18" t="s">
        <v>678</v>
      </c>
      <c r="E16" s="28" t="s">
        <v>333</v>
      </c>
    </row>
    <row r="17" customFormat="false" ht="19.5" hidden="false" customHeight="true" outlineLevel="0" collapsed="false">
      <c r="A17" s="24" t="s">
        <v>679</v>
      </c>
      <c r="B17" s="5" t="s">
        <v>680</v>
      </c>
      <c r="C17" s="5" t="s">
        <v>681</v>
      </c>
      <c r="D17" s="5" t="s">
        <v>682</v>
      </c>
      <c r="E17" s="26" t="s">
        <v>683</v>
      </c>
    </row>
    <row r="18" customFormat="false" ht="19.5" hidden="false" customHeight="true" outlineLevel="0" collapsed="false">
      <c r="A18" s="32" t="s">
        <v>684</v>
      </c>
      <c r="B18" s="18" t="s">
        <v>685</v>
      </c>
      <c r="C18" s="18" t="s">
        <v>686</v>
      </c>
      <c r="D18" s="18" t="s">
        <v>687</v>
      </c>
      <c r="E18" s="28" t="s">
        <v>486</v>
      </c>
    </row>
    <row r="19" customFormat="false" ht="19.5" hidden="false" customHeight="true" outlineLevel="0" collapsed="false">
      <c r="A19" s="24" t="s">
        <v>688</v>
      </c>
      <c r="B19" s="5" t="s">
        <v>109</v>
      </c>
      <c r="C19" s="5" t="s">
        <v>689</v>
      </c>
      <c r="D19" s="5" t="s">
        <v>690</v>
      </c>
      <c r="E19" s="26" t="s">
        <v>622</v>
      </c>
    </row>
    <row r="20" customFormat="false" ht="31.5" hidden="false" customHeight="true" outlineLevel="0" collapsed="false">
      <c r="A20" s="32" t="s">
        <v>691</v>
      </c>
      <c r="B20" s="18" t="s">
        <v>198</v>
      </c>
      <c r="C20" s="18" t="s">
        <v>692</v>
      </c>
      <c r="D20" s="18" t="s">
        <v>693</v>
      </c>
      <c r="E20" s="28" t="s">
        <v>310</v>
      </c>
    </row>
    <row r="21" customFormat="false" ht="19.5" hidden="false" customHeight="true" outlineLevel="0" collapsed="false">
      <c r="A21" s="24" t="s">
        <v>694</v>
      </c>
      <c r="B21" s="5" t="s">
        <v>695</v>
      </c>
      <c r="C21" s="5" t="s">
        <v>696</v>
      </c>
      <c r="D21" s="5" t="s">
        <v>697</v>
      </c>
      <c r="E21" s="26" t="s">
        <v>486</v>
      </c>
    </row>
    <row r="22" customFormat="false" ht="19.5" hidden="false" customHeight="true" outlineLevel="0" collapsed="false">
      <c r="A22" s="32" t="s">
        <v>698</v>
      </c>
      <c r="B22" s="18" t="s">
        <v>97</v>
      </c>
      <c r="C22" s="18" t="s">
        <v>699</v>
      </c>
      <c r="D22" s="18" t="s">
        <v>700</v>
      </c>
      <c r="E22" s="28" t="s">
        <v>701</v>
      </c>
    </row>
    <row r="23" customFormat="false" ht="19.5" hidden="false" customHeight="true" outlineLevel="0" collapsed="false">
      <c r="A23" s="24" t="s">
        <v>702</v>
      </c>
      <c r="B23" s="5" t="s">
        <v>91</v>
      </c>
      <c r="C23" s="5" t="s">
        <v>703</v>
      </c>
      <c r="D23" s="5" t="s">
        <v>86</v>
      </c>
      <c r="E23" s="26" t="s">
        <v>704</v>
      </c>
    </row>
    <row r="24" customFormat="false" ht="19.5" hidden="false" customHeight="true" outlineLevel="0" collapsed="false">
      <c r="A24" s="32" t="s">
        <v>705</v>
      </c>
      <c r="B24" s="18" t="s">
        <v>85</v>
      </c>
      <c r="C24" s="18" t="s">
        <v>706</v>
      </c>
      <c r="D24" s="18" t="s">
        <v>707</v>
      </c>
      <c r="E24" s="28" t="s">
        <v>708</v>
      </c>
    </row>
    <row r="25" customFormat="false" ht="19.5" hidden="false" customHeight="true" outlineLevel="0" collapsed="false">
      <c r="A25" s="24" t="s">
        <v>709</v>
      </c>
      <c r="B25" s="5" t="s">
        <v>710</v>
      </c>
      <c r="C25" s="5" t="s">
        <v>711</v>
      </c>
      <c r="D25" s="5" t="s">
        <v>712</v>
      </c>
      <c r="E25" s="26" t="s">
        <v>713</v>
      </c>
    </row>
    <row r="26" customFormat="false" ht="19.5" hidden="false" customHeight="true" outlineLevel="0" collapsed="false">
      <c r="A26" s="32" t="s">
        <v>714</v>
      </c>
      <c r="B26" s="18" t="s">
        <v>715</v>
      </c>
      <c r="C26" s="18" t="s">
        <v>716</v>
      </c>
      <c r="D26" s="18" t="s">
        <v>717</v>
      </c>
      <c r="E26" s="28" t="s">
        <v>197</v>
      </c>
    </row>
    <row r="27" customFormat="false" ht="19.5" hidden="false" customHeight="true" outlineLevel="0" collapsed="false">
      <c r="A27" s="24" t="s">
        <v>718</v>
      </c>
      <c r="B27" s="5" t="s">
        <v>719</v>
      </c>
      <c r="C27" s="5" t="s">
        <v>720</v>
      </c>
      <c r="D27" s="5" t="s">
        <v>721</v>
      </c>
      <c r="E27" s="26" t="s">
        <v>227</v>
      </c>
    </row>
    <row r="28" customFormat="false" ht="19.5" hidden="false" customHeight="true" outlineLevel="0" collapsed="false">
      <c r="A28" s="32" t="s">
        <v>714</v>
      </c>
      <c r="B28" s="18" t="s">
        <v>722</v>
      </c>
      <c r="C28" s="18" t="s">
        <v>723</v>
      </c>
      <c r="D28" s="18" t="s">
        <v>724</v>
      </c>
      <c r="E28" s="28" t="s">
        <v>471</v>
      </c>
    </row>
    <row r="29" customFormat="false" ht="19.5" hidden="false" customHeight="true" outlineLevel="0" collapsed="false">
      <c r="A29" s="24" t="s">
        <v>725</v>
      </c>
      <c r="B29" s="5" t="s">
        <v>726</v>
      </c>
      <c r="C29" s="5" t="s">
        <v>727</v>
      </c>
      <c r="D29" s="5" t="s">
        <v>728</v>
      </c>
      <c r="E29" s="26" t="s">
        <v>729</v>
      </c>
    </row>
    <row r="30" customFormat="false" ht="31.5" hidden="false" customHeight="true" outlineLevel="0" collapsed="false">
      <c r="A30" s="32" t="s">
        <v>730</v>
      </c>
      <c r="B30" s="18" t="s">
        <v>228</v>
      </c>
      <c r="C30" s="18" t="s">
        <v>731</v>
      </c>
      <c r="D30" s="18" t="s">
        <v>732</v>
      </c>
      <c r="E30" s="28" t="s">
        <v>237</v>
      </c>
    </row>
    <row r="31" customFormat="false" ht="19.5" hidden="false" customHeight="true" outlineLevel="0" collapsed="false">
      <c r="A31" s="24" t="s">
        <v>730</v>
      </c>
      <c r="B31" s="5" t="s">
        <v>733</v>
      </c>
      <c r="C31" s="5" t="s">
        <v>734</v>
      </c>
      <c r="D31" s="5" t="s">
        <v>735</v>
      </c>
      <c r="E31" s="26" t="s">
        <v>511</v>
      </c>
    </row>
    <row r="32" customFormat="false" ht="19.5" hidden="false" customHeight="true" outlineLevel="0" collapsed="false">
      <c r="A32" s="32" t="s">
        <v>736</v>
      </c>
      <c r="B32" s="18" t="s">
        <v>150</v>
      </c>
      <c r="C32" s="18" t="s">
        <v>737</v>
      </c>
      <c r="D32" s="18" t="s">
        <v>738</v>
      </c>
      <c r="E32" s="28" t="s">
        <v>739</v>
      </c>
    </row>
    <row r="33" customFormat="false" ht="19.5" hidden="false" customHeight="true" outlineLevel="0" collapsed="false">
      <c r="A33" s="24" t="s">
        <v>740</v>
      </c>
      <c r="B33" s="5" t="s">
        <v>741</v>
      </c>
      <c r="C33" s="5" t="s">
        <v>742</v>
      </c>
      <c r="D33" s="5" t="s">
        <v>743</v>
      </c>
      <c r="E33" s="26" t="s">
        <v>246</v>
      </c>
    </row>
    <row r="34" customFormat="false" ht="19.5" hidden="false" customHeight="true" outlineLevel="0" collapsed="false">
      <c r="A34" s="32" t="s">
        <v>740</v>
      </c>
      <c r="B34" s="18" t="s">
        <v>744</v>
      </c>
      <c r="C34" s="18" t="s">
        <v>745</v>
      </c>
      <c r="D34" s="18" t="s">
        <v>746</v>
      </c>
      <c r="E34" s="28" t="s">
        <v>622</v>
      </c>
    </row>
    <row r="35" customFormat="false" ht="19.5" hidden="false" customHeight="true" outlineLevel="0" collapsed="false">
      <c r="A35" s="24" t="s">
        <v>747</v>
      </c>
      <c r="B35" s="5" t="s">
        <v>150</v>
      </c>
      <c r="C35" s="5" t="s">
        <v>748</v>
      </c>
      <c r="D35" s="5" t="s">
        <v>749</v>
      </c>
      <c r="E35" s="26" t="s">
        <v>750</v>
      </c>
    </row>
    <row r="36" customFormat="false" ht="19.5" hidden="false" customHeight="true" outlineLevel="0" collapsed="false">
      <c r="A36" s="32" t="s">
        <v>751</v>
      </c>
      <c r="B36" s="18" t="s">
        <v>241</v>
      </c>
      <c r="C36" s="18" t="s">
        <v>752</v>
      </c>
      <c r="D36" s="18" t="s">
        <v>753</v>
      </c>
      <c r="E36" s="28" t="s">
        <v>754</v>
      </c>
    </row>
    <row r="37" customFormat="false" ht="19.5" hidden="false" customHeight="true" outlineLevel="0" collapsed="false">
      <c r="A37" s="24" t="s">
        <v>755</v>
      </c>
      <c r="B37" s="5" t="s">
        <v>150</v>
      </c>
      <c r="C37" s="5" t="s">
        <v>756</v>
      </c>
      <c r="D37" s="5" t="s">
        <v>757</v>
      </c>
      <c r="E37" s="26" t="s">
        <v>758</v>
      </c>
    </row>
    <row r="38" customFormat="false" ht="19.5" hidden="false" customHeight="true" outlineLevel="0" collapsed="false">
      <c r="A38" s="32" t="s">
        <v>759</v>
      </c>
      <c r="B38" s="18" t="s">
        <v>150</v>
      </c>
      <c r="C38" s="18" t="s">
        <v>760</v>
      </c>
      <c r="D38" s="18" t="s">
        <v>761</v>
      </c>
      <c r="E38" s="28" t="s">
        <v>762</v>
      </c>
    </row>
    <row r="39" customFormat="false" ht="19.5" hidden="false" customHeight="true" outlineLevel="0" collapsed="false">
      <c r="A39" s="24" t="s">
        <v>763</v>
      </c>
      <c r="B39" s="5" t="s">
        <v>91</v>
      </c>
      <c r="C39" s="5" t="s">
        <v>764</v>
      </c>
      <c r="D39" s="5" t="s">
        <v>765</v>
      </c>
      <c r="E39" s="26" t="s">
        <v>766</v>
      </c>
    </row>
  </sheetData>
  <autoFilter ref="A4:E39"/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100"/>
  </cols>
  <sheetData>
    <row r="1" customFormat="false" ht="24" hidden="false" customHeight="true" outlineLevel="0" collapsed="false">
      <c r="A1" s="14" t="s">
        <v>32</v>
      </c>
    </row>
    <row r="2" customFormat="false" ht="15" hidden="false" customHeight="false" outlineLevel="0" collapsed="false">
      <c r="A2" s="2" t="s">
        <v>767</v>
      </c>
    </row>
    <row r="4" customFormat="false" ht="31.5" hidden="false" customHeight="true" outlineLevel="0" collapsed="false">
      <c r="A4" s="15" t="s">
        <v>768</v>
      </c>
      <c r="B4" s="15" t="s">
        <v>769</v>
      </c>
      <c r="C4" s="15" t="s">
        <v>770</v>
      </c>
    </row>
    <row r="5" customFormat="false" ht="19.5" hidden="false" customHeight="true" outlineLevel="0" collapsed="false">
      <c r="A5" s="24" t="s">
        <v>636</v>
      </c>
      <c r="B5" s="5" t="s">
        <v>771</v>
      </c>
      <c r="C5" s="33" t="s">
        <v>772</v>
      </c>
    </row>
    <row r="6" customFormat="false" ht="19.5" hidden="false" customHeight="true" outlineLevel="0" collapsed="false">
      <c r="A6" s="24" t="s">
        <v>773</v>
      </c>
      <c r="B6" s="5" t="s">
        <v>774</v>
      </c>
      <c r="C6" s="33" t="s">
        <v>775</v>
      </c>
    </row>
    <row r="7" customFormat="false" ht="31.5" hidden="false" customHeight="true" outlineLevel="0" collapsed="false">
      <c r="A7" s="24" t="s">
        <v>776</v>
      </c>
      <c r="B7" s="5" t="s">
        <v>777</v>
      </c>
      <c r="C7" s="33" t="s">
        <v>778</v>
      </c>
    </row>
    <row r="8" customFormat="false" ht="31.5" hidden="false" customHeight="true" outlineLevel="0" collapsed="false">
      <c r="A8" s="24" t="s">
        <v>713</v>
      </c>
      <c r="B8" s="5" t="s">
        <v>779</v>
      </c>
      <c r="C8" s="33" t="s">
        <v>780</v>
      </c>
    </row>
    <row r="9" customFormat="false" ht="19.5" hidden="false" customHeight="true" outlineLevel="0" collapsed="false">
      <c r="A9" s="24" t="s">
        <v>781</v>
      </c>
      <c r="B9" s="5" t="s">
        <v>782</v>
      </c>
      <c r="C9" s="33" t="s">
        <v>783</v>
      </c>
    </row>
    <row r="10" customFormat="false" ht="19.5" hidden="false" customHeight="true" outlineLevel="0" collapsed="false">
      <c r="A10" s="24" t="s">
        <v>486</v>
      </c>
      <c r="B10" s="5" t="s">
        <v>784</v>
      </c>
      <c r="C10" s="33" t="s">
        <v>785</v>
      </c>
    </row>
    <row r="11" customFormat="false" ht="19.5" hidden="false" customHeight="true" outlineLevel="0" collapsed="false">
      <c r="A11" s="24" t="s">
        <v>786</v>
      </c>
      <c r="B11" s="5" t="s">
        <v>787</v>
      </c>
      <c r="C11" s="33" t="s">
        <v>788</v>
      </c>
    </row>
    <row r="12" customFormat="false" ht="19.5" hidden="false" customHeight="true" outlineLevel="0" collapsed="false">
      <c r="A12" s="24" t="s">
        <v>789</v>
      </c>
      <c r="B12" s="5" t="s">
        <v>790</v>
      </c>
      <c r="C12" s="33" t="s">
        <v>791</v>
      </c>
    </row>
    <row r="13" customFormat="false" ht="31.5" hidden="false" customHeight="true" outlineLevel="0" collapsed="false">
      <c r="A13" s="24" t="s">
        <v>758</v>
      </c>
      <c r="B13" s="5" t="s">
        <v>792</v>
      </c>
      <c r="C13" s="33" t="s">
        <v>793</v>
      </c>
    </row>
    <row r="14" customFormat="false" ht="19.5" hidden="false" customHeight="true" outlineLevel="0" collapsed="false">
      <c r="A14" s="24" t="s">
        <v>739</v>
      </c>
      <c r="B14" s="5" t="s">
        <v>794</v>
      </c>
      <c r="C14" s="33" t="s">
        <v>795</v>
      </c>
    </row>
    <row r="15" customFormat="false" ht="19.5" hidden="false" customHeight="true" outlineLevel="0" collapsed="false">
      <c r="A15" s="24" t="s">
        <v>796</v>
      </c>
      <c r="B15" s="5" t="s">
        <v>797</v>
      </c>
      <c r="C15" s="33" t="s">
        <v>798</v>
      </c>
    </row>
    <row r="16" customFormat="false" ht="19.5" hidden="false" customHeight="true" outlineLevel="0" collapsed="false">
      <c r="A16" s="24" t="s">
        <v>750</v>
      </c>
      <c r="B16" s="5" t="s">
        <v>799</v>
      </c>
      <c r="C16" s="33" t="s">
        <v>800</v>
      </c>
    </row>
    <row r="17" customFormat="false" ht="19.5" hidden="false" customHeight="true" outlineLevel="0" collapsed="false">
      <c r="A17" s="24" t="s">
        <v>662</v>
      </c>
      <c r="B17" s="5" t="s">
        <v>801</v>
      </c>
      <c r="C17" s="33" t="s">
        <v>802</v>
      </c>
    </row>
    <row r="18" customFormat="false" ht="19.5" hidden="false" customHeight="true" outlineLevel="0" collapsed="false">
      <c r="A18" s="24" t="s">
        <v>708</v>
      </c>
      <c r="B18" s="5" t="s">
        <v>803</v>
      </c>
      <c r="C18" s="33" t="s">
        <v>804</v>
      </c>
    </row>
    <row r="19" customFormat="false" ht="19.5" hidden="false" customHeight="true" outlineLevel="0" collapsed="false">
      <c r="A19" s="24" t="s">
        <v>805</v>
      </c>
      <c r="B19" s="5" t="s">
        <v>806</v>
      </c>
      <c r="C19" s="33" t="s">
        <v>807</v>
      </c>
    </row>
    <row r="20" customFormat="false" ht="19.5" hidden="false" customHeight="true" outlineLevel="0" collapsed="false">
      <c r="A20" s="24" t="s">
        <v>808</v>
      </c>
      <c r="B20" s="5" t="s">
        <v>809</v>
      </c>
      <c r="C20" s="33" t="s">
        <v>810</v>
      </c>
    </row>
    <row r="21" customFormat="false" ht="19.5" hidden="false" customHeight="true" outlineLevel="0" collapsed="false">
      <c r="A21" s="24" t="s">
        <v>766</v>
      </c>
      <c r="B21" s="5" t="s">
        <v>811</v>
      </c>
      <c r="C21" s="33" t="s">
        <v>812</v>
      </c>
    </row>
    <row r="22" customFormat="false" ht="19.5" hidden="false" customHeight="true" outlineLevel="0" collapsed="false">
      <c r="A22" s="24" t="s">
        <v>813</v>
      </c>
      <c r="B22" s="5" t="s">
        <v>814</v>
      </c>
      <c r="C22" s="33" t="s">
        <v>815</v>
      </c>
    </row>
    <row r="23" customFormat="false" ht="19.5" hidden="false" customHeight="true" outlineLevel="0" collapsed="false">
      <c r="A23" s="24" t="s">
        <v>816</v>
      </c>
      <c r="B23" s="5" t="s">
        <v>817</v>
      </c>
      <c r="C23" s="33" t="s">
        <v>818</v>
      </c>
    </row>
    <row r="24" customFormat="false" ht="19.5" hidden="false" customHeight="true" outlineLevel="0" collapsed="false">
      <c r="A24" s="24" t="s">
        <v>305</v>
      </c>
      <c r="B24" s="5" t="s">
        <v>819</v>
      </c>
      <c r="C24" s="33" t="s">
        <v>820</v>
      </c>
    </row>
    <row r="25" customFormat="false" ht="19.5" hidden="false" customHeight="true" outlineLevel="0" collapsed="false">
      <c r="A25" s="24" t="s">
        <v>821</v>
      </c>
      <c r="B25" s="5" t="s">
        <v>822</v>
      </c>
      <c r="C25" s="33" t="s">
        <v>823</v>
      </c>
    </row>
    <row r="26" customFormat="false" ht="19.5" hidden="false" customHeight="true" outlineLevel="0" collapsed="false">
      <c r="A26" s="24" t="s">
        <v>310</v>
      </c>
      <c r="B26" s="5" t="s">
        <v>824</v>
      </c>
      <c r="C26" s="33" t="s">
        <v>825</v>
      </c>
    </row>
    <row r="27" customFormat="false" ht="19.5" hidden="false" customHeight="true" outlineLevel="0" collapsed="false">
      <c r="A27" s="24" t="s">
        <v>826</v>
      </c>
      <c r="B27" s="5" t="s">
        <v>827</v>
      </c>
      <c r="C27" s="33" t="s">
        <v>828</v>
      </c>
    </row>
    <row r="28" customFormat="false" ht="19.5" hidden="false" customHeight="true" outlineLevel="0" collapsed="false">
      <c r="A28" s="24" t="s">
        <v>622</v>
      </c>
      <c r="B28" s="5" t="s">
        <v>829</v>
      </c>
      <c r="C28" s="33" t="s">
        <v>830</v>
      </c>
    </row>
    <row r="29" customFormat="false" ht="19.5" hidden="false" customHeight="true" outlineLevel="0" collapsed="false">
      <c r="A29" s="24" t="s">
        <v>831</v>
      </c>
      <c r="B29" s="5" t="s">
        <v>832</v>
      </c>
      <c r="C29" s="33" t="s">
        <v>833</v>
      </c>
    </row>
    <row r="30" customFormat="false" ht="19.5" hidden="false" customHeight="true" outlineLevel="0" collapsed="false">
      <c r="A30" s="24" t="s">
        <v>227</v>
      </c>
      <c r="B30" s="5" t="s">
        <v>834</v>
      </c>
      <c r="C30" s="33" t="s">
        <v>835</v>
      </c>
    </row>
    <row r="31" customFormat="false" ht="31.5" hidden="false" customHeight="true" outlineLevel="0" collapsed="false">
      <c r="A31" s="24" t="s">
        <v>237</v>
      </c>
      <c r="B31" s="5" t="s">
        <v>836</v>
      </c>
      <c r="C31" s="33" t="s">
        <v>837</v>
      </c>
    </row>
    <row r="32" customFormat="false" ht="19.5" hidden="false" customHeight="true" outlineLevel="0" collapsed="false">
      <c r="A32" s="24" t="s">
        <v>328</v>
      </c>
      <c r="B32" s="5" t="s">
        <v>838</v>
      </c>
      <c r="C32" s="33" t="s">
        <v>839</v>
      </c>
    </row>
    <row r="33" customFormat="false" ht="19.5" hidden="false" customHeight="true" outlineLevel="0" collapsed="false">
      <c r="A33" s="24" t="s">
        <v>754</v>
      </c>
      <c r="B33" s="5" t="s">
        <v>840</v>
      </c>
      <c r="C33" s="33" t="s">
        <v>841</v>
      </c>
    </row>
    <row r="34" customFormat="false" ht="19.5" hidden="false" customHeight="true" outlineLevel="0" collapsed="false">
      <c r="A34" s="24" t="s">
        <v>683</v>
      </c>
      <c r="B34" s="5" t="s">
        <v>842</v>
      </c>
      <c r="C34" s="33" t="s">
        <v>843</v>
      </c>
    </row>
    <row r="35" customFormat="false" ht="31.5" hidden="false" customHeight="true" outlineLevel="0" collapsed="false">
      <c r="A35" s="24" t="s">
        <v>522</v>
      </c>
      <c r="B35" s="5" t="s">
        <v>844</v>
      </c>
      <c r="C35" s="33" t="s">
        <v>845</v>
      </c>
    </row>
    <row r="36" customFormat="false" ht="31.5" hidden="false" customHeight="true" outlineLevel="0" collapsed="false">
      <c r="A36" s="24" t="s">
        <v>846</v>
      </c>
      <c r="B36" s="5" t="s">
        <v>847</v>
      </c>
      <c r="C36" s="33" t="s">
        <v>848</v>
      </c>
    </row>
    <row r="37" customFormat="false" ht="31.5" hidden="false" customHeight="true" outlineLevel="0" collapsed="false">
      <c r="A37" s="24" t="s">
        <v>626</v>
      </c>
      <c r="B37" s="5" t="s">
        <v>849</v>
      </c>
      <c r="C37" s="33" t="s">
        <v>850</v>
      </c>
    </row>
    <row r="38" customFormat="false" ht="19.5" hidden="false" customHeight="true" outlineLevel="0" collapsed="false">
      <c r="A38" s="24" t="s">
        <v>333</v>
      </c>
      <c r="B38" s="5" t="s">
        <v>851</v>
      </c>
      <c r="C38" s="33" t="s">
        <v>852</v>
      </c>
    </row>
    <row r="39" customFormat="false" ht="19.5" hidden="false" customHeight="true" outlineLevel="0" collapsed="false">
      <c r="A39" s="24" t="s">
        <v>300</v>
      </c>
      <c r="B39" s="5" t="s">
        <v>853</v>
      </c>
      <c r="C39" s="33" t="s">
        <v>854</v>
      </c>
    </row>
    <row r="40" customFormat="false" ht="19.5" hidden="false" customHeight="true" outlineLevel="0" collapsed="false">
      <c r="A40" s="24" t="s">
        <v>701</v>
      </c>
      <c r="B40" s="5" t="s">
        <v>855</v>
      </c>
      <c r="C40" s="33" t="s">
        <v>856</v>
      </c>
    </row>
    <row r="41" customFormat="false" ht="31.5" hidden="false" customHeight="true" outlineLevel="0" collapsed="false">
      <c r="A41" s="24" t="s">
        <v>729</v>
      </c>
      <c r="B41" s="5" t="s">
        <v>857</v>
      </c>
      <c r="C41" s="33" t="s">
        <v>858</v>
      </c>
    </row>
    <row r="42" customFormat="false" ht="19.5" hidden="false" customHeight="true" outlineLevel="0" collapsed="false">
      <c r="A42" s="24" t="s">
        <v>859</v>
      </c>
      <c r="B42" s="5" t="s">
        <v>860</v>
      </c>
      <c r="C42" s="33" t="s">
        <v>861</v>
      </c>
    </row>
    <row r="43" customFormat="false" ht="19.5" hidden="false" customHeight="true" outlineLevel="0" collapsed="false">
      <c r="A43" s="24" t="s">
        <v>862</v>
      </c>
      <c r="B43" s="5" t="s">
        <v>863</v>
      </c>
      <c r="C43" s="33" t="s">
        <v>864</v>
      </c>
    </row>
    <row r="44" customFormat="false" ht="19.5" hidden="false" customHeight="true" outlineLevel="0" collapsed="false">
      <c r="A44" s="24" t="s">
        <v>556</v>
      </c>
      <c r="B44" s="5" t="s">
        <v>865</v>
      </c>
      <c r="C44" s="33" t="s">
        <v>866</v>
      </c>
    </row>
    <row r="45" customFormat="false" ht="19.5" hidden="false" customHeight="true" outlineLevel="0" collapsed="false">
      <c r="A45" s="24" t="s">
        <v>585</v>
      </c>
      <c r="B45" s="5" t="s">
        <v>867</v>
      </c>
      <c r="C45" s="33" t="s">
        <v>868</v>
      </c>
    </row>
    <row r="46" customFormat="false" ht="19.5" hidden="false" customHeight="true" outlineLevel="0" collapsed="false">
      <c r="A46" s="24" t="s">
        <v>588</v>
      </c>
      <c r="B46" s="5" t="s">
        <v>869</v>
      </c>
      <c r="C46" s="33" t="s">
        <v>870</v>
      </c>
    </row>
    <row r="47" customFormat="false" ht="19.5" hidden="false" customHeight="true" outlineLevel="0" collapsed="false">
      <c r="A47" s="24" t="s">
        <v>595</v>
      </c>
      <c r="B47" s="5" t="s">
        <v>871</v>
      </c>
      <c r="C47" s="33" t="s">
        <v>872</v>
      </c>
    </row>
    <row r="48" customFormat="false" ht="19.5" hidden="false" customHeight="true" outlineLevel="0" collapsed="false">
      <c r="A48" s="24" t="s">
        <v>573</v>
      </c>
      <c r="B48" s="5" t="s">
        <v>873</v>
      </c>
      <c r="C48" s="33" t="s">
        <v>874</v>
      </c>
    </row>
    <row r="49" customFormat="false" ht="19.5" hidden="false" customHeight="true" outlineLevel="0" collapsed="false">
      <c r="A49" s="24" t="s">
        <v>577</v>
      </c>
      <c r="B49" s="5" t="s">
        <v>875</v>
      </c>
      <c r="C49" s="33" t="s">
        <v>876</v>
      </c>
    </row>
    <row r="50" customFormat="false" ht="19.5" hidden="false" customHeight="true" outlineLevel="0" collapsed="false">
      <c r="A50" s="24" t="s">
        <v>877</v>
      </c>
      <c r="B50" s="5" t="s">
        <v>878</v>
      </c>
      <c r="C50" s="33" t="s">
        <v>879</v>
      </c>
    </row>
    <row r="51" customFormat="false" ht="19.5" hidden="false" customHeight="true" outlineLevel="0" collapsed="false">
      <c r="A51" s="24" t="s">
        <v>880</v>
      </c>
      <c r="B51" s="5" t="s">
        <v>881</v>
      </c>
      <c r="C51" s="33" t="s">
        <v>882</v>
      </c>
    </row>
    <row r="52" customFormat="false" ht="19.5" hidden="false" customHeight="true" outlineLevel="0" collapsed="false">
      <c r="A52" s="24" t="s">
        <v>883</v>
      </c>
      <c r="B52" s="5" t="s">
        <v>884</v>
      </c>
      <c r="C52" s="33" t="s">
        <v>885</v>
      </c>
    </row>
  </sheetData>
  <hyperlinks>
    <hyperlink ref="C5" r:id="rId1" display="https://gee.cs.oswego.edu/dl/html/malloc.html"/>
    <hyperlink ref="C6" r:id="rId2" display="https://gitverse.ru/githubmirror/glibc/tag/glibc-2.31/malloc/malloc.c"/>
    <hyperlink ref="C7" r:id="rId3" display="https://www.blackhat.com/presentations/bh-usa-07/Ferguson/Presentation/bh-usa-07-ferguson.pdf"/>
    <hyperlink ref="C8" r:id="rId4" display="https://research.checkpoint.com/2020/safe-linking-eliminating-a-20-year-old-malloc-exploit-primitive/"/>
    <hyperlink ref="C9" r:id="rId5" display="https://git.centos.org/rpms/glibc/blob/c8/f/SOURCES/glibc-rh1871383-1.patch"/>
    <hyperlink ref="C10" r:id="rId6" display="https://www.mintlify.com/shellphish/how2heap/glibc/changelog"/>
    <hyperlink ref="C11" r:id="rId7" display="https://www.mintlify.com/shellphish/how2heap/reference/by-glibc-version"/>
    <hyperlink ref="C12" r:id="rId8" display="https://man.archlinux.org/man/malloc_hook.3.en.raw"/>
    <hyperlink ref="C13" r:id="rId9" display="https://engineering.fb.com/2026/03/02/data-infrastructure/investing-in-infrastructure-metas-renewed-commitment-to-jemalloc/"/>
    <hyperlink ref="C14" r:id="rId10" display="https://ftp.riken.jp/NetBSD/NetBSD-current/src/external/bsd/jemalloc/dist/ChangeLog"/>
    <hyperlink ref="C15" r:id="rId11" display="https://www.phoronix.com/news/jemalloc-5.3.1"/>
    <hyperlink ref="C16" r:id="rId12" display="https://lists.freebsd.org/archives/cu/2025-June/007847.html"/>
    <hyperlink ref="C17" r:id="rId13" display="https://theconsensus.dev/p/2026/04/16/who-even-uses-jemalloc-anyway.html"/>
    <hyperlink ref="C18" r:id="rId14" display="https://www.infoq.com/news/2020/02/google-tc-malloc-open-source"/>
    <hyperlink ref="C19" r:id="rId15" display="https://google.github.io/tcmalloc/design.html"/>
    <hyperlink ref="C20" r:id="rId16" display="http://goog-perftools.sourceforge.net/doc/tcmalloc.html"/>
    <hyperlink ref="C21" r:id="rId17" display="https://github.com/microsoft/mimalloc"/>
    <hyperlink ref="C22" r:id="rId18" display="https://en.wikipedia.org/wiki/Mimalloc"/>
    <hyperlink ref="C23" r:id="rId19" display="https://www.microsoft.com/en-us/research/uploads/prod/2019/06/mimalloc-tr-v1.pdf"/>
    <hyperlink ref="C24" r:id="rId20" display="https://www.llvm.org/docs/ScudoHardenedAllocator.html"/>
    <hyperlink ref="C25" r:id="rId21" display="https://www-new.llvm.org/devmtg/2024-10/slides/quicktalks/Duan-Ferris-WhyYouShouldUseScudo.pdf"/>
    <hyperlink ref="C26" r:id="rId22" display="https://github.com/GrapheneOS/hardened_malloc"/>
    <hyperlink ref="C27" r:id="rId23" display="https://man.openbsd.org/OpenBSD-6.2/malloc.conf.5"/>
    <hyperlink ref="C28" r:id="rId24" display="https://isopenbsdsecu.re/mitigations/malloc/"/>
    <hyperlink ref="C29" r:id="rId25" display="https://ftplist1.openbsd.org/papers/eurobsdcon2023-otto-malloc.pdf"/>
    <hyperlink ref="C30" r:id="rId26" display="https://openwall.com/lists/musl/2020/08/04/4"/>
    <hyperlink ref="C31" r:id="rId27" display="https://chromium.googlesource.com/chromium/src/+/HEAD/base/allocator/partition_allocator/PartitionAlloc.md"/>
    <hyperlink ref="C32" r:id="rId28" display="https://cs.iossec.tech/libmalloc/latest/source/doc/xzone_malloc.md"/>
    <hyperlink ref="C33" r:id="rId29" display="https://security.apple.com/blog/memory-integrity-enforcement/"/>
    <hyperlink ref="C34" r:id="rId30" display="https://www.blackhat.com/docs/us-16/materials/us-16-Yason-Windows-10-Segment-Heap-Internals-wp.pdf"/>
    <hyperlink ref="C35" r:id="rId31" display="https://msrc.microsoft.com/blog/2009/08/preventing-the-exploitation-of-user-mode-heap-corruption-vulnerabilities"/>
    <hyperlink ref="C36" r:id="rId32" display="https://msrc.microsoft.com/blog/2013/10/software-defense-mitigating-heap-corruption-vulnerabilities"/>
    <hyperlink ref="C37" r:id="rId33" display="https://infocondb.org/con/black-hat/black-hat-usa-2010/understanding-the-low-fragmentation-heap-from-allocation-to-exploitation"/>
    <hyperlink ref="C38" r:id="rId34" display="https://blog.lse.epita.fr/2014/11/02/getting-back-determinism-in-the-lfh.html"/>
    <hyperlink ref="C39" r:id="rId35" display="https://www.microsoft.com/en-us/research/uploads/prod/2020/04/snmalloc.pdf"/>
    <hyperlink ref="C40" r:id="rId36" display="https://conf.researchr.org/details/ismm-2019/ismm-2019-papers/3/snmalloc-A-Message-Passing-Allocator"/>
    <hyperlink ref="C41" r:id="rId37" display="https://blog.qualys.com/vulnerabilities-threat-research/2021/01/26/cve-2021-3156-heap-based-buffer-overflow-in-sudo-baron-samedit"/>
    <hyperlink ref="C42" r:id="rId38" display="https://lwn.net/Articles/844789"/>
    <hyperlink ref="C43" r:id="rId39" display="https://db.gcve.eu/vuln/cve-2021-3156"/>
    <hyperlink ref="C44" r:id="rId40" display="https://cwe.mitre.org/data/definitions/122"/>
    <hyperlink ref="C45" r:id="rId41" display="https://capec.mitre.org/data/definitions/92"/>
    <hyperlink ref="C46" r:id="rId42" display="https://threats.kaspersky.com/en/threat/Trojan.Win32.Crypt.amwb"/>
    <hyperlink ref="C47" r:id="rId43" display="https://cipherssecurity.com/attack/"/>
    <hyperlink ref="C48" r:id="rId44" display="https://cvefeed.io/capec/detail/capec-100-overflow-buffers"/>
    <hyperlink ref="C49" r:id="rId45" display="https://vulnerabilities.etecs.ru/cwe/CWE-680?lang=en"/>
    <hyperlink ref="C50" r:id="rId46" display="https://arxiv.org/pdf/1709.02746"/>
    <hyperlink ref="C51" r:id="rId47" display="https://windowslatest.com/2020/09/14/status-of-chrome-segment-heap-for-windows-10"/>
    <hyperlink ref="C52" r:id="rId48" display="https://hup.hu/node/174997"/>
  </hyperlink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2026-10-17T11:27:02Z</dcterms:created>
  <dc:creator>openpyxl</dc:creator>
  <dc:description/>
  <dc:language>en-US</dc:language>
  <cp:lastModifiedBy/>
  <dcterms:modified xsi:type="dcterms:W3CDTF">2026-10-17T11:27:02Z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