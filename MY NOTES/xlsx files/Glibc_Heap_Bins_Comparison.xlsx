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mparison" sheetId="2" state="visible" r:id="rId4"/>
    <sheet name="Security" sheetId="3" state="visible" r:id="rId5"/>
    <sheet name="Size &amp; Occupancy" sheetId="4" state="visible" r:id="rId6"/>
    <sheet name="Timeline &amp; Fix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<sst xmlns="http://schemas.openxmlformats.org/spreadsheetml/2006/main" count="417" uniqueCount="299">
  <si>
    <t xml:space="preserve">Glibc Heap Bins – Quick Answers</t>
  </si>
  <si>
    <t xml:space="preserve">Live answers calculated from the other sheets. Tap a sheet tab for details.</t>
  </si>
  <si>
    <t xml:space="preserve">Question</t>
  </si>
  <si>
    <t xml:space="preserve">Answer</t>
  </si>
  <si>
    <t xml:space="preserve">Basis</t>
  </si>
  <si>
    <t xml:space="preserve">Which bin is most vulnerable?</t>
  </si>
  <si>
    <t xml:space="preserve">Highest score on Security sheet</t>
  </si>
  <si>
    <t xml:space="preserve">Which bin is safest?</t>
  </si>
  <si>
    <t xml:space="preserve">Lowest score on Security sheet</t>
  </si>
  <si>
    <t xml:space="preserve">Which is fastest?</t>
  </si>
  <si>
    <t xml:space="preserve">Speed rank 1 (no lock, O(1))</t>
  </si>
  <si>
    <t xml:space="preserve">Which is slowest?</t>
  </si>
  <si>
    <t xml:space="preserve">Highest speed rank (best-fit search)</t>
  </si>
  <si>
    <t xml:space="preserve">Which bins are fixed size?</t>
  </si>
  <si>
    <t xml:space="preserve">Comparison → Fixed size?</t>
  </si>
  <si>
    <t xml:space="preserve">Which bins are variable size?</t>
  </si>
  <si>
    <t xml:space="preserve">Who created them?</t>
  </si>
  <si>
    <t xml:space="preserve">Doug Lea (dlmalloc) → Wolfram Gloger (ptmalloc2) → glibc; Tcache by DJ Delorie</t>
  </si>
  <si>
    <t xml:space="preserve">Timeline &amp; Fixes</t>
  </si>
  <si>
    <t xml:space="preserve">When were they invented?</t>
  </si>
  <si>
    <t xml:space="preserve">dlmalloc from 1987; ptmalloc2 in glibc 2.3 (2002); Tcache in glibc 2.26 (2017)</t>
  </si>
  <si>
    <t xml:space="preserve">Which manages what application?</t>
  </si>
  <si>
    <t xml:space="preserve">Tcache/Fastbin: small &amp; threaded; Small: medium; Large: big buffers; Top: heap growth</t>
  </si>
  <si>
    <t xml:space="preserve">Comparison → Applications</t>
  </si>
  <si>
    <t xml:space="preserve">Bin summary</t>
  </si>
  <si>
    <t xml:space="preserve">Bin</t>
  </si>
  <si>
    <t xml:space="preserve">Vulnerability score</t>
  </si>
  <si>
    <t xml:space="preserve">Safety level</t>
  </si>
  <si>
    <t xml:space="preserve">Speed</t>
  </si>
  <si>
    <t xml:space="preserve">Fixed size?</t>
  </si>
  <si>
    <t xml:space="preserve">Colour legend</t>
  </si>
  <si>
    <t xml:space="preserve">Safe</t>
  </si>
  <si>
    <t xml:space="preserve">Hard to exploit: strong integrity checks</t>
  </si>
  <si>
    <t xml:space="preserve">Medium</t>
  </si>
  <si>
    <t xml:space="preserve">Exploitable with effort or in specific glibc versions</t>
  </si>
  <si>
    <t xml:space="preserve">Unsafe</t>
  </si>
  <si>
    <t xml:space="preserve">Easy to exploit once a heap bug exists</t>
  </si>
  <si>
    <t xml:space="preserve">Responsive tips: columns are wrapped and header rows are frozen; the workbook prints fit-to-width. On a phone, rotate to landscape. Scope: glibc ptmalloc2, 64-bit Linux; security scores are analyst judgement, dates before 2002 approximate.</t>
  </si>
  <si>
    <t xml:space="preserve">Glibc Heap Bins – Full Comparison (ptmalloc2, 64-bit)</t>
  </si>
  <si>
    <t xml:space="preserve">Tcache vs Fastbin vs Unsorted vs Small vs Large vs Top chunk. Scroll right/down – first column and header stay frozen.</t>
  </si>
  <si>
    <t xml:space="preserve">Feature</t>
  </si>
  <si>
    <t xml:space="preserve">Tcache</t>
  </si>
  <si>
    <t xml:space="preserve">Fastbin</t>
  </si>
  <si>
    <t xml:space="preserve">Unsorted Bin</t>
  </si>
  <si>
    <t xml:space="preserve">Small Bin</t>
  </si>
  <si>
    <t xml:space="preserve">Large Bin</t>
  </si>
  <si>
    <t xml:space="preserve">Top Chunk</t>
  </si>
  <si>
    <t xml:space="preserve">GENERAL</t>
  </si>
  <si>
    <t xml:space="preserve">Created by (author)</t>
  </si>
  <si>
    <t xml:space="preserve">DJ Delorie (Red Hat); idea from Google's TCMalloc thread cache</t>
  </si>
  <si>
    <t xml:space="preserve">Doug Lea (dlmalloc); carried into Wolfram Gloger's ptmalloc2 / glibc</t>
  </si>
  <si>
    <t xml:space="preserve">Doug Lea (dlmalloc 2.7.x era); carried into ptmalloc2 / glibc</t>
  </si>
  <si>
    <t xml:space="preserve">Doug Lea (dlmalloc)</t>
  </si>
  <si>
    <t xml:space="preserve">Doug Lea (dlmalloc – the 'wilderness' chunk)</t>
  </si>
  <si>
    <t xml:space="preserve">Invented (time)</t>
  </si>
  <si>
    <t xml:space="preserve">2017 – glibc 2.26 (Aug 2017)</t>
  </si>
  <si>
    <t xml:space="preserve">~Mid-1990s (dlmalloc 2.x); in glibc since 2.3 (2002)</t>
  </si>
  <si>
    <t xml:space="preserve">~2000s (dlmalloc 2.7.x); in glibc since 2.3 (2002)</t>
  </si>
  <si>
    <t xml:space="preserve">Late 1980s–1990s (original dlmalloc, 1987+)</t>
  </si>
  <si>
    <t xml:space="preserve">Purpose</t>
  </si>
  <si>
    <t xml:space="preserve">Per-thread cache; malloc/free with no locking</t>
  </si>
  <si>
    <t xml:space="preserve">Quick reuse of tiny, short-lived chunks without merging</t>
  </si>
  <si>
    <t xml:space="preserve">Staging list: recently freed/split chunks get one chance of quick reuse</t>
  </si>
  <si>
    <t xml:space="preserve">Exact-fit storage for small–medium freed chunks</t>
  </si>
  <si>
    <t xml:space="preserve">Best-fit storage for big freed chunks</t>
  </si>
  <si>
    <t xml:space="preserve">Free space at end of heap; source of fresh memory</t>
  </si>
  <si>
    <t xml:space="preserve">Data structure</t>
  </si>
  <si>
    <t xml:space="preserve">Singly linked list</t>
  </si>
  <si>
    <t xml:space="preserve">Doubly linked circular list</t>
  </si>
  <si>
    <t xml:space="preserve">Doubly linked list + fd_nextsize / bk_nextsize skip list</t>
  </si>
  <si>
    <t xml:space="preserve">Single chunk (not a list)</t>
  </si>
  <si>
    <t xml:space="preserve">Order</t>
  </si>
  <si>
    <t xml:space="preserve">LIFO</t>
  </si>
  <si>
    <t xml:space="preserve">FIFO-like (insert at head, scan from tail)</t>
  </si>
  <si>
    <t xml:space="preserve">FIFO</t>
  </si>
  <si>
    <t xml:space="preserve">Sorted by size (best fit)</t>
  </si>
  <si>
    <t xml:space="preserve">N/A</t>
  </si>
  <si>
    <t xml:space="preserve">Number of bins</t>
  </si>
  <si>
    <t xml:space="preserve">64 (7 entries each by default)</t>
  </si>
  <si>
    <t xml:space="preserve">10 max (7 used by default)</t>
  </si>
  <si>
    <t xml:space="preserve">1</t>
  </si>
  <si>
    <t xml:space="preserve">62</t>
  </si>
  <si>
    <t xml:space="preserve">63</t>
  </si>
  <si>
    <t xml:space="preserve">1 chunk</t>
  </si>
  <si>
    <t xml:space="preserve">Stored where</t>
  </si>
  <si>
    <t xml:space="preserve">tcache_perthread_struct (on heap, per thread)</t>
  </si>
  <si>
    <t xml:space="preserve">malloc_state.fastbinsY (arena in libc)</t>
  </si>
  <si>
    <t xml:space="preserve">malloc_state.bins[1]</t>
  </si>
  <si>
    <t xml:space="preserve">malloc_state.bins[2..63]</t>
  </si>
  <si>
    <t xml:space="preserve">malloc_state.bins[64..126]</t>
  </si>
  <si>
    <t xml:space="preserve">malloc_state.top</t>
  </si>
  <si>
    <t xml:space="preserve">SIZE &amp; OCCUPANCY</t>
  </si>
  <si>
    <t xml:space="preserve">Yes</t>
  </si>
  <si>
    <t xml:space="preserve">No</t>
  </si>
  <si>
    <t xml:space="preserve">Size class note</t>
  </si>
  <si>
    <t xml:space="preserve">One exact size per bin</t>
  </si>
  <si>
    <t xml:space="preserve">Mixed sizes in one list</t>
  </si>
  <si>
    <t xml:space="preserve">A range of sizes per bin</t>
  </si>
  <si>
    <t xml:space="preserve">Single variable-size block</t>
  </si>
  <si>
    <t xml:space="preserve">Chunk size range</t>
  </si>
  <si>
    <t xml:space="preserve">0x20–0x410 (32–1040 B)</t>
  </si>
  <si>
    <t xml:space="preserve">0x20–0x80 default (32–128 B); max 0xb0 via mallopt</t>
  </si>
  <si>
    <t xml:space="preserve">Any size</t>
  </si>
  <si>
    <t xml:space="preserve">0x20–0x3F0 (32–1008 B)</t>
  </si>
  <si>
    <t xml:space="preserve">≥ 0x400 (1 KiB+) up to mmap threshold (128 KiB default)</t>
  </si>
  <si>
    <t xml:space="preserve">Any size; grows via brk/sbrk (top pad 128 KiB)</t>
  </si>
  <si>
    <t xml:space="preserve">Size step between bins</t>
  </si>
  <si>
    <t xml:space="preserve">16 B</t>
  </si>
  <si>
    <t xml:space="preserve">64 B → 512 B → 4 KiB → … (widens)</t>
  </si>
  <si>
    <t xml:space="preserve">Max entries</t>
  </si>
  <si>
    <t xml:space="preserve">7 per bin (tunable)</t>
  </si>
  <si>
    <t xml:space="preserve">Unlimited</t>
  </si>
  <si>
    <t xml:space="preserve">Coalescing (merging)</t>
  </si>
  <si>
    <t xml:space="preserve">No (only at malloc_consolidate)</t>
  </si>
  <si>
    <t xml:space="preserve">Yes (merges with freed neighbour)</t>
  </si>
  <si>
    <t xml:space="preserve">Chunk looks 'in use'? (PREV_INUSE)</t>
  </si>
  <si>
    <t xml:space="preserve">Yes – bit stays set</t>
  </si>
  <si>
    <t xml:space="preserve">No – bit cleared on free</t>
  </si>
  <si>
    <t xml:space="preserve">Fragmentation</t>
  </si>
  <si>
    <t xml:space="preserve">Can increase (never merged)</t>
  </si>
  <si>
    <t xml:space="preserve">Higher (no merging)</t>
  </si>
  <si>
    <t xml:space="preserve">Low (merged)</t>
  </si>
  <si>
    <t xml:space="preserve">Low</t>
  </si>
  <si>
    <t xml:space="preserve">Medium (splits leave remainders)</t>
  </si>
  <si>
    <t xml:space="preserve">Lowest (contiguous)</t>
  </si>
  <si>
    <t xml:space="preserve">PERFORMANCE</t>
  </si>
  <si>
    <t xml:space="preserve">Speed rank (1 = fastest)</t>
  </si>
  <si>
    <t xml:space="preserve">Speed label</t>
  </si>
  <si>
    <t xml:space="preserve">Locking</t>
  </si>
  <si>
    <t xml:space="preserve">None (thread-local)</t>
  </si>
  <si>
    <t xml:space="preserve">Lock-free atomic ops</t>
  </si>
  <si>
    <t xml:space="preserve">Arena mutex</t>
  </si>
  <si>
    <t xml:space="preserve">malloc search order</t>
  </si>
  <si>
    <t xml:space="preserve">1st</t>
  </si>
  <si>
    <t xml:space="preserve">2nd</t>
  </si>
  <si>
    <t xml:space="preserve">4th</t>
  </si>
  <si>
    <t xml:space="preserve">3rd</t>
  </si>
  <si>
    <t xml:space="preserve">5th</t>
  </si>
  <si>
    <t xml:space="preserve">6th (last before system call)</t>
  </si>
  <si>
    <t xml:space="preserve">Time complexity</t>
  </si>
  <si>
    <t xml:space="preserve">O(1)</t>
  </si>
  <si>
    <t xml:space="preserve">O(n) list scan</t>
  </si>
  <si>
    <t xml:space="preserve">O(log n)–O(n) best-fit search</t>
  </si>
  <si>
    <t xml:space="preserve">O(1) split (+ syscall if heap grows)</t>
  </si>
  <si>
    <t xml:space="preserve">SECURITY</t>
  </si>
  <si>
    <t xml:space="preserve">Vulnerability score (1–10)</t>
  </si>
  <si>
    <t xml:space="preserve">Vulnerability rank (1 = worst)</t>
  </si>
  <si>
    <t xml:space="preserve">Integrity checks</t>
  </si>
  <si>
    <t xml:space="preserve">Few: double-free key (2.29+), safe-linking &amp; alignment (2.32+)</t>
  </si>
  <si>
    <t xml:space="preserve">Size check, top-of-bin double-free check, safe-linking (2.32+)</t>
  </si>
  <si>
    <t xml:space="preserve">Sanity checks on fd/bk and size (2.29+)</t>
  </si>
  <si>
    <t xml:space="preserve">Strong: bck-&gt;fd must equal victim</t>
  </si>
  <si>
    <t xml:space="preserve">Partial nextsize checks (2.30+)</t>
  </si>
  <si>
    <t xml:space="preserve">Top size vs system_mem check (2.29+)</t>
  </si>
  <si>
    <t xml:space="preserve">Main attacks</t>
  </si>
  <si>
    <t xml:space="preserve">Tcache poisoning, tcache dup, House of Botcake</t>
  </si>
  <si>
    <t xml:space="preserve">Fastbin dup (A-B-A), House of Spirit</t>
  </si>
  <si>
    <t xml:space="preserve">Unsorted bin attack (old glibc), libc leak</t>
  </si>
  <si>
    <t xml:space="preserve">House of Lore (hard)</t>
  </si>
  <si>
    <t xml:space="preserve">Large bin attack, House of Storm</t>
  </si>
  <si>
    <t xml:space="preserve">House of Force (fixed 2.29), House of Orange</t>
  </si>
  <si>
    <t xml:space="preserve">Information leaked</t>
  </si>
  <si>
    <t xml:space="preserve">Heap address</t>
  </si>
  <si>
    <t xml:space="preserve">libc address (main_arena+96)</t>
  </si>
  <si>
    <t xml:space="preserve">libc address (if sole chunk)</t>
  </si>
  <si>
    <t xml:space="preserve">libc + heap address</t>
  </si>
  <si>
    <t xml:space="preserve">libc address (low risk)</t>
  </si>
  <si>
    <t xml:space="preserve">APPLICATIONS</t>
  </si>
  <si>
    <t xml:space="preserve">Best for (kind of application)</t>
  </si>
  <si>
    <t xml:space="preserve">Multi-threaded apps with many small, short-lived allocations</t>
  </si>
  <si>
    <t xml:space="preserve">Tiny, frequent objects: list/tree nodes, small structs</t>
  </si>
  <si>
    <t xml:space="preserve">Mixed-size workloads with quick free-then-malloc patterns</t>
  </si>
  <si>
    <t xml:space="preserve">Medium objects (≤ 1 KiB): structs, strings, small buffers</t>
  </si>
  <si>
    <t xml:space="preserve">Large buffers (≥ 1 KiB): file, network, image, DB pages</t>
  </si>
  <si>
    <t xml:space="preserve">Growing heaps and requests nothing else can satisfy</t>
  </si>
  <si>
    <t xml:space="preserve">Example software</t>
  </si>
  <si>
    <t xml:space="preserve">Web servers, browsers, JSON/XML parsers</t>
  </si>
  <si>
    <t xml:space="preserve">Network packet metadata, linked lists, game objects, tokens</t>
  </si>
  <si>
    <t xml:space="preserve">Compilers, desktop and server apps in general</t>
  </si>
  <si>
    <t xml:space="preserve">Database records, GUI widgets, text editors</t>
  </si>
  <si>
    <t xml:space="preserve">Video/image editors, database engines, compressors</t>
  </si>
  <si>
    <t xml:space="preserve">Long-running daemons and servers</t>
  </si>
  <si>
    <t xml:space="preserve">Notes: glibc ptmalloc2, 64-bit Linux. Dates before 2002 are approximate. Speed rank is a typical-case judgement (blue = editable input). Vulnerability rows link to the Security sheet. Colours: Green = Safe / fast, Yellow = Medium, Red = Unsafe / slow.</t>
  </si>
  <si>
    <t xml:space="preserve">Security / Vulnerability Rating</t>
  </si>
  <si>
    <t xml:space="preserve">Score = average of 4 criteria (1 = hardest to attack, 10 = easiest to attack). Edit the blue scores or thresholds and everything updates.</t>
  </si>
  <si>
    <t xml:space="preserve">Unsafe (Red) if score ≥</t>
  </si>
  <si>
    <t xml:space="preserve">Below the Medium threshold = Safe (Green).</t>
  </si>
  <si>
    <t xml:space="preserve">Medium (Yellow) if score ≥</t>
  </si>
  <si>
    <t xml:space="preserve">Check Weakness</t>
  </si>
  <si>
    <t xml:space="preserve">Attack Ease</t>
  </si>
  <si>
    <t xml:space="preserve">Attack Variety</t>
  </si>
  <si>
    <t xml:space="preserve">Info-Leak Risk</t>
  </si>
  <si>
    <t xml:space="preserve">Vulnerability Score</t>
  </si>
  <si>
    <t xml:space="preserve">Safety Level</t>
  </si>
  <si>
    <t xml:space="preserve">Rank (1 = most vulnerable)</t>
  </si>
  <si>
    <t xml:space="preserve">Why this rating</t>
  </si>
  <si>
    <t xml:space="preserve">Known attacks / techniques</t>
  </si>
  <si>
    <t xml:space="preserve">Added for speed with almost no integrity checks at first; no locks; pointer overwrite gives arbitrary allocation. Double-free key (2.29) and safe-linking (2.32) help but heap leak bypasses them.</t>
  </si>
  <si>
    <t xml:space="preserve">Tcache poisoning, tcache dup, tcache_perthread_struct overwrite, House of Botcake</t>
  </si>
  <si>
    <t xml:space="preserve">Singly linked, no coalescing, chunks stay 'in use'. Only a size check and top-of-bin double-free check; classic A-B-A double free bypasses it.</t>
  </si>
  <si>
    <t xml:space="preserve">Fastbin dup (A-B-A), fastbin dup into stack/hooks, House of Spirit</t>
  </si>
  <si>
    <t xml:space="preserve">Better checks since 2.29, but still the easiest source of libc address leaks (fd/bk point into main_arena).</t>
  </si>
  <si>
    <t xml:space="preserve">Unsorted bin attack (older glibc), libc leak, House of Orange / Storm helpers</t>
  </si>
  <si>
    <t xml:space="preserve">Doubly linked with strong fd/bk consistency check (bck-&gt;fd must equal victim). Attacker must forge two linked fake chunks.</t>
  </si>
  <si>
    <t xml:space="preserve">House of Lore, smallbin corruption (hard)</t>
  </si>
  <si>
    <t xml:space="preserve">Extra nextsize pointers add attack surface. Checks added in 2.30 but some variants still work.</t>
  </si>
  <si>
    <t xml:space="preserve">Large bin attack (bk_nextsize write), House of Storm</t>
  </si>
  <si>
    <t xml:space="preserve">Single chunk. Overwriting its size was easy until the 2.29 sanity check; still abused in some chains.</t>
  </si>
  <si>
    <t xml:space="preserve">House of Force (fixed 2.29), House of Orange, top size corruption</t>
  </si>
  <si>
    <t xml:space="preserve">Method &amp; assumptions</t>
  </si>
  <si>
    <t xml:space="preserve">Scores are an analyst judgement (not an official CVE metric) based on glibc ptmalloc2 on 64-bit Linux and public heap-exploitation research.</t>
  </si>
  <si>
    <t xml:space="preserve">Check Weakness: how few integrity checks protect the bin.  Attack Ease: how simple a working exploit is.  Attack Variety: how many known techniques exist.  Info-Leak Risk: how easily it exposes heap/libc addresses.</t>
  </si>
  <si>
    <t xml:space="preserve">Safe = Green, Medium = Yellow, Unsafe = Red. 'Unsafe' means easier to exploit if a memory-corruption bug exists; it does not mean the allocator is broken.</t>
  </si>
  <si>
    <t xml:space="preserve">Size &amp; Occupancy (64-bit glibc)</t>
  </si>
  <si>
    <t xml:space="preserve">Chunk sizes in bytes incl. 16 B header overhead rules. Counts are calculated by formula from min / max / step.</t>
  </si>
  <si>
    <t xml:space="preserve">Min chunk (B)</t>
  </si>
  <si>
    <t xml:space="preserve">Max chunk (B)</t>
  </si>
  <si>
    <t xml:space="preserve">Step (B)</t>
  </si>
  <si>
    <t xml:space="preserve">Size classes (calc.)</t>
  </si>
  <si>
    <t xml:space="preserve">Max entries / class</t>
  </si>
  <si>
    <t xml:space="preserve">Max bytes cached (calc.)</t>
  </si>
  <si>
    <t xml:space="preserve">Occupancy behaviour</t>
  </si>
  <si>
    <t xml:space="preserve">Holds at most 7 chunks per size; extra frees fall through to fastbin / unsorted.</t>
  </si>
  <si>
    <t xml:space="preserve">Unbounded</t>
  </si>
  <si>
    <t xml:space="preserve">Unlimited chunks of one size; never merged, so memory stays reserved until consolidation.</t>
  </si>
  <si>
    <t xml:space="preserve">One list with any size; every entry is scanned and sorted into small/large bins on the next malloc.</t>
  </si>
  <si>
    <t xml:space="preserve">Unlimited chunks of one exact size per bin; merged with free neighbours.</t>
  </si>
  <si>
    <t xml:space="preserve">63 bins, each covering a size range (64 B wide at first, up to 256 KiB+ wide at the end). 131072 = default mmap threshold.</t>
  </si>
  <si>
    <t xml:space="preserve">Heap-limited</t>
  </si>
  <si>
    <t xml:space="preserve">One chunk. Grows with brk/sbrk (+128 KiB pad) and is trimmed when above 128 KiB.</t>
  </si>
  <si>
    <t xml:space="preserve">Summary</t>
  </si>
  <si>
    <t xml:space="preserve">Fixed-size bins</t>
  </si>
  <si>
    <t xml:space="preserve">Variable-size bins</t>
  </si>
  <si>
    <t xml:space="preserve">Tcache size classes</t>
  </si>
  <si>
    <t xml:space="preserve">Assumptions: sizes are chunk sizes (header included) on 64-bit glibc 2.26+ defaults; Fastbin max can be raised to 0xb0 with mallopt(M_MXFAST). Tcache max bytes = classes × average size × 7 entries (default tcache_count; tunable via GLIBC_TUNABLES).</t>
  </si>
  <si>
    <t xml:space="preserve">Timeline, Author &amp; Fixes</t>
  </si>
  <si>
    <t xml:space="preserve">Who created each piece, when, and which attacks were fixed (glibc versions).</t>
  </si>
  <si>
    <t xml:space="preserve">Year</t>
  </si>
  <si>
    <t xml:space="preserve">Event</t>
  </si>
  <si>
    <t xml:space="preserve">Author / Organisation</t>
  </si>
  <si>
    <t xml:space="preserve">glibc version</t>
  </si>
  <si>
    <t xml:space="preserve">Bins affected</t>
  </si>
  <si>
    <t xml:space="preserve">Type</t>
  </si>
  <si>
    <t xml:space="preserve">Status</t>
  </si>
  <si>
    <t xml:space="preserve">1987 (approx.)</t>
  </si>
  <si>
    <t xml:space="preserve">dlmalloc created: boundary tags, bins, small/large bins, top ('wilderness') chunk</t>
  </si>
  <si>
    <t xml:space="preserve">Doug Lea</t>
  </si>
  <si>
    <t xml:space="preserve">—</t>
  </si>
  <si>
    <t xml:space="preserve">Small, Large, Top</t>
  </si>
  <si>
    <t xml:space="preserve">Foundation</t>
  </si>
  <si>
    <t xml:space="preserve">~1990s</t>
  </si>
  <si>
    <t xml:space="preserve">Fastbins added to dlmalloc for speed (no coalescing)</t>
  </si>
  <si>
    <t xml:space="preserve">~1999–2001</t>
  </si>
  <si>
    <t xml:space="preserve">ptmalloc / ptmalloc2: dlmalloc made multi-thread safe with per-thread arenas</t>
  </si>
  <si>
    <t xml:space="preserve">Wolfram Gloger</t>
  </si>
  <si>
    <t xml:space="preserve">All (arenas)</t>
  </si>
  <si>
    <t xml:space="preserve">2001–2002</t>
  </si>
  <si>
    <t xml:space="preserve">ptmalloc2 becomes glibc's malloc</t>
  </si>
  <si>
    <t xml:space="preserve">glibc team</t>
  </si>
  <si>
    <t xml:space="preserve">2.3</t>
  </si>
  <si>
    <t xml:space="preserve">All</t>
  </si>
  <si>
    <t xml:space="preserve">2017 (Aug)</t>
  </si>
  <si>
    <t xml:space="preserve">Tcache introduced – per-thread lock-free cache</t>
  </si>
  <si>
    <t xml:space="preserve">DJ Delorie (Red Hat)</t>
  </si>
  <si>
    <t xml:space="preserve">2.26</t>
  </si>
  <si>
    <t xml:space="preserve">2017+</t>
  </si>
  <si>
    <t xml:space="preserve">Tcache poisoning / dup attacks appear (almost no checks)</t>
  </si>
  <si>
    <t xml:space="preserve">Security researchers</t>
  </si>
  <si>
    <t xml:space="preserve">2.26+</t>
  </si>
  <si>
    <t xml:space="preserve">Attack</t>
  </si>
  <si>
    <t xml:space="preserve">Partially fixed</t>
  </si>
  <si>
    <t xml:space="preserve">Old (pre-2.26)</t>
  </si>
  <si>
    <t xml:space="preserve">Fastbin double-free check (top-of-bin only) – bypass by A-B-A pattern</t>
  </si>
  <si>
    <t xml:space="preserve">&lt;2.26</t>
  </si>
  <si>
    <t xml:space="preserve">Mitigation</t>
  </si>
  <si>
    <t xml:space="preserve">2019 (Feb)</t>
  </si>
  <si>
    <t xml:space="preserve">Tcache double-free key check</t>
  </si>
  <si>
    <t xml:space="preserve">2.29</t>
  </si>
  <si>
    <t xml:space="preserve">Fixed</t>
  </si>
  <si>
    <t xml:space="preserve">Unsorted bin attack blocked (bck-&gt;fd check)</t>
  </si>
  <si>
    <t xml:space="preserve">House of Force blocked (top size sanity check)</t>
  </si>
  <si>
    <t xml:space="preserve">2019 (Aug)</t>
  </si>
  <si>
    <t xml:space="preserve">Extra checks on large bin nextsize pointers; some variants remain</t>
  </si>
  <si>
    <t xml:space="preserve">2.30</t>
  </si>
  <si>
    <t xml:space="preserve">2020 (Aug)</t>
  </si>
  <si>
    <t xml:space="preserve">Safe-linking: fd pointers mangled; alignment checks</t>
  </si>
  <si>
    <t xml:space="preserve">Eyal Itkin (Check Point) / glibc</t>
  </si>
  <si>
    <t xml:space="preserve">2.32</t>
  </si>
  <si>
    <t xml:space="preserve">Tcache, Fastbin</t>
  </si>
  <si>
    <t xml:space="preserve">2021 (Aug)</t>
  </si>
  <si>
    <t xml:space="preserve">__malloc_hook / __free_hook removed; random tcache key</t>
  </si>
  <si>
    <t xml:space="preserve">2.34</t>
  </si>
  <si>
    <t xml:space="preserve">Ongoing</t>
  </si>
  <si>
    <t xml:space="preserve">Large bin attack and heap-leak + safe-linking bypass still used in CTFs and exploits</t>
  </si>
  <si>
    <t xml:space="preserve">Security community</t>
  </si>
  <si>
    <t xml:space="preserve">2.32+</t>
  </si>
  <si>
    <t xml:space="preserve">Large, Tcache, Fastbin</t>
  </si>
  <si>
    <t xml:space="preserve">Still exploitable</t>
  </si>
  <si>
    <t xml:space="preserve">Dates before 2002 are approximate; glibc version numbers per glibc release notes. Status = Green fixed, Yellow partially fixed / bypassable, Red still exploitable. Verify against glibc malloc.c history before citing.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</si>
</sst>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6FC"/>
        <bgColor rgb="FFFFFFFF"/>
      </patternFill>
    </fill>
    <fill>
      <patternFill patternType="solid">
        <fgColor rgb="FFD9E2F3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rgb="FFFFD966"/>
        <bgColor rgb="FFFFCC00"/>
      </patternFill>
    </fill>
    <fill>
      <patternFill patternType="solid">
        <fgColor rgb="FFE53935"/>
        <bgColor rgb="FF993366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FFFFFF"/>
      </font>
      <fill>
        <patternFill>
          <bgColor rgb="FFE53935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0B05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CE4D6"/>
        </patternFill>
      </fill>
    </dxf>
    <dxf>
      <font>
        <name val="Arial"/>
        <charset val="1"/>
        <family val="0"/>
        <b val="1"/>
      </font>
      <fill>
        <patternFill>
          <bgColor rgb="FFFFD9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F2F6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CE4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53935"/>
      <rgbColor rgb="FF4F81BD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Vulnerability score by bin (higher = more vulnerable)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Security!F6</c:f>
              <c:strCache>
                <c:ptCount val="1"/>
                <c:pt idx="0">
                  <c:v>Vulnerability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53935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53935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ffd96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b050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ffd96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Security!$A$7:$A$12</c:f>
              <c:strCache>
                <c:ptCount val="6"/>
                <c:pt idx="0">
                  <c:v>Tcache</c:v>
                </c:pt>
                <c:pt idx="1">
                  <c:v>Fastbin</c:v>
                </c:pt>
                <c:pt idx="2">
                  <c:v>Unsorted Bin</c:v>
                </c:pt>
                <c:pt idx="3">
                  <c:v>Small Bin</c:v>
                </c:pt>
                <c:pt idx="4">
                  <c:v>Large Bin</c:v>
                </c:pt>
                <c:pt idx="5">
                  <c:v>Top Chunk</c:v>
                </c:pt>
              </c:strCache>
            </c:strRef>
          </c:cat>
          <c:val>
            <c:numRef>
              <c:f>Security!$F$7:$F$12</c:f>
              <c:numCache>
                <c:formatCode>0.00</c:formatCode>
                <c:ptCount val="6"/>
                <c:pt idx="0">
                  <c:v>7.75</c:v>
                </c:pt>
                <c:pt idx="1">
                  <c:v>7</c:v>
                </c:pt>
                <c:pt idx="2">
                  <c:v>6.5</c:v>
                </c:pt>
                <c:pt idx="3">
                  <c:v>3.25</c:v>
                </c:pt>
                <c:pt idx="4">
                  <c:v>5.25</c:v>
                </c:pt>
                <c:pt idx="5">
                  <c:v>4</c:v>
                </c:pt>
              </c:numCache>
            </c:numRef>
          </c:val>
        </c:ser>
        <c:gapWidth val="150"/>
        <c:overlap val="0"/>
        <c:axId val="40591531"/>
        <c:axId val="96024726"/>
      </c:barChart>
      <c:catAx>
        <c:axId val="405915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24726"/>
        <c:crosses val="autoZero"/>
        <c:auto val="1"/>
        <c:lblAlgn val="ctr"/>
        <c:lblOffset val="100"/>
        <c:noMultiLvlLbl val="0"/>
      </c:catAx>
      <c:valAx>
        <c:axId val="96024726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91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8</xdr:col>
      <xdr:colOff>307080</xdr:colOff>
      <xdr:row>34</xdr:row>
      <xdr:rowOff>11520</xdr:rowOff>
    </xdr:to>
    <xdr:graphicFrame>
      <xdr:nvGraphicFramePr>
        <xdr:cNvPr id="0" name="Chart 1"/>
        <xdr:cNvGraphicFramePr/>
      </xdr:nvGraphicFramePr>
      <xdr:xfrm>
        <a:off x="0" y="781056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2</v>
      </c>
      <c r="B4" s="3" t="s">
        <v>3</v>
      </c>
      <c r="C4" s="3"/>
      <c r="D4" s="3" t="s">
        <v>4</v>
      </c>
      <c r="E4" s="3"/>
    </row>
    <row r="5" customFormat="false" ht="25.5" hidden="false" customHeight="true" outlineLevel="0" collapsed="false">
      <c r="A5" s="4" t="s">
        <v>5</v>
      </c>
      <c r="B5" s="5" t="str">
        <f aca="false">INDEX(Security!A7:A12,MATCH(MAX(Security!F7:F12),Security!F7:F12,0))</f>
        <v>Tcache</v>
      </c>
      <c r="C5" s="5"/>
      <c r="D5" s="6" t="s">
        <v>6</v>
      </c>
      <c r="E5" s="6"/>
    </row>
    <row r="6" customFormat="false" ht="25.5" hidden="false" customHeight="true" outlineLevel="0" collapsed="false">
      <c r="A6" s="4" t="s">
        <v>7</v>
      </c>
      <c r="B6" s="7" t="str">
        <f aca="false">INDEX(Security!A7:A12,MATCH(MIN(Security!F7:F12),Security!F7:F12,0))</f>
        <v>Small Bin</v>
      </c>
      <c r="C6" s="7"/>
      <c r="D6" s="6" t="s">
        <v>8</v>
      </c>
      <c r="E6" s="6"/>
    </row>
    <row r="7" customFormat="false" ht="25.5" hidden="false" customHeight="true" outlineLevel="0" collapsed="false">
      <c r="A7" s="4" t="s">
        <v>9</v>
      </c>
      <c r="B7" s="8" t="str">
        <f aca="false">INDEX(Comparison!B4:G4,MATCH(MIN(Comparison!B23:G23),Comparison!B23:G23,0))</f>
        <v>Tcache</v>
      </c>
      <c r="C7" s="8"/>
      <c r="D7" s="6" t="s">
        <v>10</v>
      </c>
      <c r="E7" s="6"/>
    </row>
    <row r="8" customFormat="false" ht="25.5" hidden="false" customHeight="true" outlineLevel="0" collapsed="false">
      <c r="A8" s="4" t="s">
        <v>11</v>
      </c>
      <c r="B8" s="8" t="str">
        <f aca="false">INDEX(Comparison!B4:G4,MATCH(MAX(Comparison!B23:G23),Comparison!B23:G23,0))</f>
        <v>Large Bin</v>
      </c>
      <c r="C8" s="8"/>
      <c r="D8" s="6" t="s">
        <v>12</v>
      </c>
      <c r="E8" s="6"/>
    </row>
    <row r="9" customFormat="false" ht="43.5" hidden="false" customHeight="true" outlineLevel="0" collapsed="false">
      <c r="A9" s="4" t="s">
        <v>13</v>
      </c>
      <c r="B9" s="8" t="str">
        <f aca="false">IFERROR(LEFT(IF(Comparison!B14="Yes",Comparison!B4&amp;", ","")&amp;IF(Comparison!C14="Yes",Comparison!C4&amp;", ","")&amp;IF(Comparison!D14="Yes",Comparison!D4&amp;", ","")&amp;IF(Comparison!E14="Yes",Comparison!E4&amp;", ","")&amp;IF(Comparison!F14="Yes",Comparison!F4&amp;", ","")&amp;IF(Comparison!G14="Yes",Comparison!G4&amp;", ",""),LEN(IF(Comparison!B14="Yes",Comparison!B4&amp;", ","")&amp;IF(Comparison!C14="Yes",Comparison!C4&amp;", ","")&amp;IF(Comparison!D14="Yes",Comparison!D4&amp;", ","")&amp;IF(Comparison!E14="Yes",Comparison!E4&amp;", ","")&amp;IF(Comparison!F14="Yes",Comparison!F4&amp;", ","")&amp;IF(Comparison!G14="Yes",Comparison!G4&amp;", ",""))-2),"None")</f>
        <v>Tcache, Fastbin, Small Bin</v>
      </c>
      <c r="C9" s="8"/>
      <c r="D9" s="6" t="s">
        <v>14</v>
      </c>
      <c r="E9" s="6"/>
    </row>
    <row r="10" customFormat="false" ht="43.5" hidden="false" customHeight="true" outlineLevel="0" collapsed="false">
      <c r="A10" s="4" t="s">
        <v>15</v>
      </c>
      <c r="B10" s="8" t="str">
        <f aca="false">IFERROR(LEFT(IF(Comparison!B14="No",Comparison!B4&amp;", ","")&amp;IF(Comparison!C14="No",Comparison!C4&amp;", ","")&amp;IF(Comparison!D14="No",Comparison!D4&amp;", ","")&amp;IF(Comparison!E14="No",Comparison!E4&amp;", ","")&amp;IF(Comparison!F14="No",Comparison!F4&amp;", ","")&amp;IF(Comparison!G14="No",Comparison!G4&amp;", ",""),LEN(IF(Comparison!B14="No",Comparison!B4&amp;", ","")&amp;IF(Comparison!C14="No",Comparison!C4&amp;", ","")&amp;IF(Comparison!D14="No",Comparison!D4&amp;", ","")&amp;IF(Comparison!E14="No",Comparison!E4&amp;", ","")&amp;IF(Comparison!F14="No",Comparison!F4&amp;", ","")&amp;IF(Comparison!G14="No",Comparison!G4&amp;", ",""))-2),"None")</f>
        <v>Unsorted Bin, Large Bin, Top Chunk</v>
      </c>
      <c r="C10" s="8"/>
      <c r="D10" s="6" t="s">
        <v>14</v>
      </c>
      <c r="E10" s="6"/>
    </row>
    <row r="11" customFormat="false" ht="43.5" hidden="false" customHeight="true" outlineLevel="0" collapsed="false">
      <c r="A11" s="4" t="s">
        <v>16</v>
      </c>
      <c r="B11" s="8" t="s">
        <v>17</v>
      </c>
      <c r="C11" s="8"/>
      <c r="D11" s="6" t="s">
        <v>18</v>
      </c>
      <c r="E11" s="6"/>
    </row>
    <row r="12" customFormat="false" ht="43.5" hidden="false" customHeight="true" outlineLevel="0" collapsed="false">
      <c r="A12" s="4" t="s">
        <v>19</v>
      </c>
      <c r="B12" s="8" t="s">
        <v>20</v>
      </c>
      <c r="C12" s="8"/>
      <c r="D12" s="6" t="s">
        <v>18</v>
      </c>
      <c r="E12" s="6"/>
    </row>
    <row r="13" customFormat="false" ht="43.5" hidden="false" customHeight="true" outlineLevel="0" collapsed="false">
      <c r="A13" s="4" t="s">
        <v>21</v>
      </c>
      <c r="B13" s="8" t="s">
        <v>22</v>
      </c>
      <c r="C13" s="8"/>
      <c r="D13" s="6" t="s">
        <v>23</v>
      </c>
      <c r="E13" s="6"/>
    </row>
    <row r="15" customFormat="false" ht="15" hidden="false" customHeight="false" outlineLevel="0" collapsed="false">
      <c r="A15" s="9" t="s">
        <v>24</v>
      </c>
    </row>
    <row r="16" customFormat="false" ht="25.5" hidden="false" customHeight="true" outlineLevel="0" collapsed="false">
      <c r="A16" s="3" t="s">
        <v>25</v>
      </c>
      <c r="B16" s="3" t="s">
        <v>26</v>
      </c>
      <c r="C16" s="3" t="s">
        <v>27</v>
      </c>
      <c r="D16" s="3" t="s">
        <v>28</v>
      </c>
      <c r="E16" s="3" t="s">
        <v>29</v>
      </c>
    </row>
    <row r="17" customFormat="false" ht="24" hidden="false" customHeight="true" outlineLevel="0" collapsed="false">
      <c r="A17" s="10" t="str">
        <f aca="false">Security!A7</f>
        <v>Tcache</v>
      </c>
      <c r="B17" s="11" t="n">
        <f aca="false">Security!F7</f>
        <v>7.75</v>
      </c>
      <c r="C17" s="12" t="str">
        <f aca="false">Security!G7</f>
        <v>Unsafe</v>
      </c>
      <c r="D17" s="12" t="str">
        <f aca="false">Comparison!B24</f>
        <v>Fastest</v>
      </c>
      <c r="E17" s="12" t="str">
        <f aca="false">Comparison!B14</f>
        <v>Yes</v>
      </c>
    </row>
    <row r="18" customFormat="false" ht="24" hidden="false" customHeight="true" outlineLevel="0" collapsed="false">
      <c r="A18" s="10" t="str">
        <f aca="false">Security!A8</f>
        <v>Fastbin</v>
      </c>
      <c r="B18" s="11" t="n">
        <f aca="false">Security!F8</f>
        <v>7</v>
      </c>
      <c r="C18" s="12" t="str">
        <f aca="false">Security!G8</f>
        <v>Unsafe</v>
      </c>
      <c r="D18" s="12" t="str">
        <f aca="false">Comparison!C24</f>
        <v>Very fast</v>
      </c>
      <c r="E18" s="12" t="str">
        <f aca="false">Comparison!C14</f>
        <v>Yes</v>
      </c>
    </row>
    <row r="19" customFormat="false" ht="24" hidden="false" customHeight="true" outlineLevel="0" collapsed="false">
      <c r="A19" s="10" t="str">
        <f aca="false">Security!A9</f>
        <v>Unsorted Bin</v>
      </c>
      <c r="B19" s="11" t="n">
        <f aca="false">Security!F9</f>
        <v>6.5</v>
      </c>
      <c r="C19" s="12" t="str">
        <f aca="false">Security!G9</f>
        <v>Medium</v>
      </c>
      <c r="D19" s="12" t="str">
        <f aca="false">Comparison!D24</f>
        <v>Slow</v>
      </c>
      <c r="E19" s="12" t="str">
        <f aca="false">Comparison!D14</f>
        <v>No</v>
      </c>
    </row>
    <row r="20" customFormat="false" ht="24" hidden="false" customHeight="true" outlineLevel="0" collapsed="false">
      <c r="A20" s="10" t="str">
        <f aca="false">Security!A10</f>
        <v>Small Bin</v>
      </c>
      <c r="B20" s="11" t="n">
        <f aca="false">Security!F10</f>
        <v>3.25</v>
      </c>
      <c r="C20" s="12" t="str">
        <f aca="false">Security!G10</f>
        <v>Safe</v>
      </c>
      <c r="D20" s="12" t="str">
        <f aca="false">Comparison!E24</f>
        <v>Fast</v>
      </c>
      <c r="E20" s="12" t="str">
        <f aca="false">Comparison!E14</f>
        <v>Yes</v>
      </c>
    </row>
    <row r="21" customFormat="false" ht="24" hidden="false" customHeight="true" outlineLevel="0" collapsed="false">
      <c r="A21" s="10" t="str">
        <f aca="false">Security!A11</f>
        <v>Large Bin</v>
      </c>
      <c r="B21" s="11" t="n">
        <f aca="false">Security!F11</f>
        <v>5.25</v>
      </c>
      <c r="C21" s="12" t="str">
        <f aca="false">Security!G11</f>
        <v>Medium</v>
      </c>
      <c r="D21" s="12" t="str">
        <f aca="false">Comparison!F24</f>
        <v>Slowest</v>
      </c>
      <c r="E21" s="12" t="str">
        <f aca="false">Comparison!F14</f>
        <v>No</v>
      </c>
    </row>
    <row r="22" customFormat="false" ht="24" hidden="false" customHeight="true" outlineLevel="0" collapsed="false">
      <c r="A22" s="10" t="str">
        <f aca="false">Security!A12</f>
        <v>Top Chunk</v>
      </c>
      <c r="B22" s="11" t="n">
        <f aca="false">Security!F12</f>
        <v>4</v>
      </c>
      <c r="C22" s="12" t="str">
        <f aca="false">Security!G12</f>
        <v>Medium</v>
      </c>
      <c r="D22" s="12" t="str">
        <f aca="false">Comparison!G24</f>
        <v>Medium</v>
      </c>
      <c r="E22" s="12" t="str">
        <f aca="false">Comparison!G14</f>
        <v>No</v>
      </c>
    </row>
    <row r="24" customFormat="false" ht="15" hidden="false" customHeight="false" outlineLevel="0" collapsed="false">
      <c r="A24" s="9" t="s">
        <v>30</v>
      </c>
    </row>
    <row r="25" customFormat="false" ht="15" hidden="false" customHeight="false" outlineLevel="0" collapsed="false">
      <c r="A25" s="13" t="s">
        <v>31</v>
      </c>
      <c r="B25" s="14" t="s">
        <v>32</v>
      </c>
      <c r="C25" s="14"/>
      <c r="D25" s="14"/>
      <c r="E25" s="14"/>
    </row>
    <row r="26" customFormat="false" ht="15" hidden="false" customHeight="false" outlineLevel="0" collapsed="false">
      <c r="A26" s="15" t="s">
        <v>33</v>
      </c>
      <c r="B26" s="14" t="s">
        <v>34</v>
      </c>
      <c r="C26" s="14"/>
      <c r="D26" s="14"/>
      <c r="E26" s="14"/>
    </row>
    <row r="27" customFormat="false" ht="15" hidden="false" customHeight="false" outlineLevel="0" collapsed="false">
      <c r="A27" s="16" t="s">
        <v>35</v>
      </c>
      <c r="B27" s="14" t="s">
        <v>36</v>
      </c>
      <c r="C27" s="14"/>
      <c r="D27" s="14"/>
      <c r="E27" s="14"/>
    </row>
    <row r="29" customFormat="false" ht="42" hidden="false" customHeight="true" outlineLevel="0" collapsed="false">
      <c r="A29" s="17" t="s">
        <v>37</v>
      </c>
      <c r="B29" s="17"/>
      <c r="C29" s="17"/>
      <c r="D29" s="17"/>
      <c r="E29" s="17"/>
    </row>
  </sheetData>
  <mergeCells count="26">
    <mergeCell ref="A1:E1"/>
    <mergeCell ref="A2:E2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25:E25"/>
    <mergeCell ref="B26:E26"/>
    <mergeCell ref="B27:E27"/>
    <mergeCell ref="A29:E29"/>
  </mergeCells>
  <conditionalFormatting sqref="B17:C22">
    <cfRule type="expression" priority="2" aboveAverage="0" equalAverage="0" bottom="0" percent="0" rank="0" text="" dxfId="0">
      <formula>$C17="Unsafe"</formula>
    </cfRule>
    <cfRule type="expression" priority="3" aboveAverage="0" equalAverage="0" bottom="0" percent="0" rank="0" text="" dxfId="1">
      <formula>$C17="Medium"</formula>
    </cfRule>
    <cfRule type="expression" priority="4" aboveAverage="0" equalAverage="0" bottom="0" percent="0" rank="0" text="" dxfId="2">
      <formula>$C17="Safe"</formula>
    </cfRule>
  </conditionalFormatting>
  <conditionalFormatting sqref="E17:E22">
    <cfRule type="expression" priority="5" aboveAverage="0" equalAverage="0" bottom="0" percent="0" rank="0" text="" dxfId="3">
      <formula>E17="Yes"</formula>
    </cfRule>
    <cfRule type="expression" priority="6" aboveAverage="0" equalAverage="0" bottom="0" percent="0" rank="0" text="" dxfId="4">
      <formula>E17="No"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31"/>
  </cols>
  <sheetData>
    <row r="1" customFormat="false" ht="31.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39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27.75" hidden="false" customHeight="true" outlineLevel="0" collapsed="false">
      <c r="A4" s="18" t="s">
        <v>40</v>
      </c>
      <c r="B4" s="18" t="s">
        <v>41</v>
      </c>
      <c r="C4" s="18" t="s">
        <v>42</v>
      </c>
      <c r="D4" s="18" t="s">
        <v>43</v>
      </c>
      <c r="E4" s="18" t="s">
        <v>44</v>
      </c>
      <c r="F4" s="18" t="s">
        <v>45</v>
      </c>
      <c r="G4" s="18" t="s">
        <v>46</v>
      </c>
    </row>
    <row r="5" customFormat="false" ht="21.75" hidden="false" customHeight="true" outlineLevel="0" collapsed="false">
      <c r="A5" s="19" t="s">
        <v>47</v>
      </c>
      <c r="B5" s="19"/>
      <c r="C5" s="19"/>
      <c r="D5" s="19"/>
      <c r="E5" s="19"/>
      <c r="F5" s="19"/>
      <c r="G5" s="19"/>
    </row>
    <row r="6" customFormat="false" ht="47.25" hidden="false" customHeight="true" outlineLevel="0" collapsed="false">
      <c r="A6" s="4" t="s">
        <v>48</v>
      </c>
      <c r="B6" s="6" t="s">
        <v>49</v>
      </c>
      <c r="C6" s="6" t="s">
        <v>50</v>
      </c>
      <c r="D6" s="6" t="s">
        <v>51</v>
      </c>
      <c r="E6" s="6" t="s">
        <v>52</v>
      </c>
      <c r="F6" s="6" t="s">
        <v>52</v>
      </c>
      <c r="G6" s="6" t="s">
        <v>53</v>
      </c>
    </row>
    <row r="7" customFormat="false" ht="33.75" hidden="false" customHeight="true" outlineLevel="0" collapsed="false">
      <c r="A7" s="4" t="s">
        <v>54</v>
      </c>
      <c r="B7" s="6" t="s">
        <v>55</v>
      </c>
      <c r="C7" s="6" t="s">
        <v>56</v>
      </c>
      <c r="D7" s="6" t="s">
        <v>57</v>
      </c>
      <c r="E7" s="6" t="s">
        <v>58</v>
      </c>
      <c r="F7" s="6" t="s">
        <v>58</v>
      </c>
      <c r="G7" s="6" t="s">
        <v>58</v>
      </c>
    </row>
    <row r="8" customFormat="false" ht="47.25" hidden="false" customHeight="true" outlineLevel="0" collapsed="false">
      <c r="A8" s="4" t="s">
        <v>59</v>
      </c>
      <c r="B8" s="6" t="s">
        <v>60</v>
      </c>
      <c r="C8" s="6" t="s">
        <v>61</v>
      </c>
      <c r="D8" s="6" t="s">
        <v>62</v>
      </c>
      <c r="E8" s="6" t="s">
        <v>63</v>
      </c>
      <c r="F8" s="6" t="s">
        <v>64</v>
      </c>
      <c r="G8" s="6" t="s">
        <v>65</v>
      </c>
    </row>
    <row r="9" customFormat="false" ht="33.75" hidden="false" customHeight="true" outlineLevel="0" collapsed="false">
      <c r="A9" s="4" t="s">
        <v>66</v>
      </c>
      <c r="B9" s="6" t="s">
        <v>67</v>
      </c>
      <c r="C9" s="6" t="s">
        <v>67</v>
      </c>
      <c r="D9" s="6" t="s">
        <v>68</v>
      </c>
      <c r="E9" s="6" t="s">
        <v>68</v>
      </c>
      <c r="F9" s="6" t="s">
        <v>69</v>
      </c>
      <c r="G9" s="6" t="s">
        <v>70</v>
      </c>
    </row>
    <row r="10" customFormat="false" ht="33.75" hidden="false" customHeight="true" outlineLevel="0" collapsed="false">
      <c r="A10" s="4" t="s">
        <v>71</v>
      </c>
      <c r="B10" s="6" t="s">
        <v>72</v>
      </c>
      <c r="C10" s="6" t="s">
        <v>72</v>
      </c>
      <c r="D10" s="6" t="s">
        <v>73</v>
      </c>
      <c r="E10" s="6" t="s">
        <v>74</v>
      </c>
      <c r="F10" s="6" t="s">
        <v>75</v>
      </c>
      <c r="G10" s="6" t="s">
        <v>76</v>
      </c>
    </row>
    <row r="11" customFormat="false" ht="24" hidden="false" customHeight="true" outlineLevel="0" collapsed="false">
      <c r="A11" s="4" t="s">
        <v>77</v>
      </c>
      <c r="B11" s="6" t="s">
        <v>78</v>
      </c>
      <c r="C11" s="6" t="s">
        <v>79</v>
      </c>
      <c r="D11" s="6" t="s">
        <v>80</v>
      </c>
      <c r="E11" s="6" t="s">
        <v>81</v>
      </c>
      <c r="F11" s="6" t="s">
        <v>82</v>
      </c>
      <c r="G11" s="6" t="s">
        <v>83</v>
      </c>
    </row>
    <row r="12" customFormat="false" ht="33.75" hidden="false" customHeight="true" outlineLevel="0" collapsed="false">
      <c r="A12" s="4" t="s">
        <v>84</v>
      </c>
      <c r="B12" s="6" t="s">
        <v>85</v>
      </c>
      <c r="C12" s="6" t="s">
        <v>86</v>
      </c>
      <c r="D12" s="6" t="s">
        <v>87</v>
      </c>
      <c r="E12" s="6" t="s">
        <v>88</v>
      </c>
      <c r="F12" s="6" t="s">
        <v>89</v>
      </c>
      <c r="G12" s="6" t="s">
        <v>90</v>
      </c>
    </row>
    <row r="13" customFormat="false" ht="21.75" hidden="false" customHeight="true" outlineLevel="0" collapsed="false">
      <c r="A13" s="19" t="s">
        <v>91</v>
      </c>
      <c r="B13" s="19"/>
      <c r="C13" s="19"/>
      <c r="D13" s="19"/>
      <c r="E13" s="19"/>
      <c r="F13" s="19"/>
      <c r="G13" s="19"/>
    </row>
    <row r="14" customFormat="false" ht="24" hidden="false" customHeight="true" outlineLevel="0" collapsed="false">
      <c r="A14" s="4" t="s">
        <v>29</v>
      </c>
      <c r="B14" s="12" t="s">
        <v>92</v>
      </c>
      <c r="C14" s="12" t="s">
        <v>92</v>
      </c>
      <c r="D14" s="12" t="s">
        <v>93</v>
      </c>
      <c r="E14" s="12" t="s">
        <v>92</v>
      </c>
      <c r="F14" s="12" t="s">
        <v>93</v>
      </c>
      <c r="G14" s="12" t="s">
        <v>93</v>
      </c>
    </row>
    <row r="15" customFormat="false" ht="24" hidden="false" customHeight="true" outlineLevel="0" collapsed="false">
      <c r="A15" s="4" t="s">
        <v>94</v>
      </c>
      <c r="B15" s="6" t="s">
        <v>95</v>
      </c>
      <c r="C15" s="6" t="s">
        <v>95</v>
      </c>
      <c r="D15" s="6" t="s">
        <v>96</v>
      </c>
      <c r="E15" s="6" t="s">
        <v>95</v>
      </c>
      <c r="F15" s="6" t="s">
        <v>97</v>
      </c>
      <c r="G15" s="6" t="s">
        <v>98</v>
      </c>
    </row>
    <row r="16" customFormat="false" ht="33.75" hidden="false" customHeight="true" outlineLevel="0" collapsed="false">
      <c r="A16" s="4" t="s">
        <v>99</v>
      </c>
      <c r="B16" s="6" t="s">
        <v>100</v>
      </c>
      <c r="C16" s="6" t="s">
        <v>101</v>
      </c>
      <c r="D16" s="6" t="s">
        <v>102</v>
      </c>
      <c r="E16" s="6" t="s">
        <v>103</v>
      </c>
      <c r="F16" s="6" t="s">
        <v>104</v>
      </c>
      <c r="G16" s="6" t="s">
        <v>105</v>
      </c>
    </row>
    <row r="17" customFormat="false" ht="33.75" hidden="false" customHeight="true" outlineLevel="0" collapsed="false">
      <c r="A17" s="4" t="s">
        <v>106</v>
      </c>
      <c r="B17" s="6" t="s">
        <v>107</v>
      </c>
      <c r="C17" s="6" t="s">
        <v>107</v>
      </c>
      <c r="D17" s="6" t="s">
        <v>76</v>
      </c>
      <c r="E17" s="6" t="s">
        <v>107</v>
      </c>
      <c r="F17" s="6" t="s">
        <v>108</v>
      </c>
      <c r="G17" s="6" t="s">
        <v>76</v>
      </c>
    </row>
    <row r="18" customFormat="false" ht="24" hidden="false" customHeight="true" outlineLevel="0" collapsed="false">
      <c r="A18" s="4" t="s">
        <v>109</v>
      </c>
      <c r="B18" s="6" t="s">
        <v>110</v>
      </c>
      <c r="C18" s="6" t="s">
        <v>111</v>
      </c>
      <c r="D18" s="6" t="s">
        <v>111</v>
      </c>
      <c r="E18" s="6" t="s">
        <v>111</v>
      </c>
      <c r="F18" s="6" t="s">
        <v>111</v>
      </c>
      <c r="G18" s="6" t="s">
        <v>80</v>
      </c>
    </row>
    <row r="19" customFormat="false" ht="33.75" hidden="false" customHeight="true" outlineLevel="0" collapsed="false">
      <c r="A19" s="4" t="s">
        <v>112</v>
      </c>
      <c r="B19" s="6" t="s">
        <v>93</v>
      </c>
      <c r="C19" s="6" t="s">
        <v>113</v>
      </c>
      <c r="D19" s="6" t="s">
        <v>92</v>
      </c>
      <c r="E19" s="6" t="s">
        <v>92</v>
      </c>
      <c r="F19" s="6" t="s">
        <v>92</v>
      </c>
      <c r="G19" s="6" t="s">
        <v>114</v>
      </c>
    </row>
    <row r="20" customFormat="false" ht="33.75" hidden="false" customHeight="true" outlineLevel="0" collapsed="false">
      <c r="A20" s="4" t="s">
        <v>115</v>
      </c>
      <c r="B20" s="6" t="s">
        <v>116</v>
      </c>
      <c r="C20" s="6" t="s">
        <v>116</v>
      </c>
      <c r="D20" s="6" t="s">
        <v>117</v>
      </c>
      <c r="E20" s="6" t="s">
        <v>117</v>
      </c>
      <c r="F20" s="6" t="s">
        <v>117</v>
      </c>
      <c r="G20" s="6" t="s">
        <v>76</v>
      </c>
    </row>
    <row r="21" customFormat="false" ht="24" hidden="false" customHeight="true" outlineLevel="0" collapsed="false">
      <c r="A21" s="4" t="s">
        <v>118</v>
      </c>
      <c r="B21" s="6" t="s">
        <v>119</v>
      </c>
      <c r="C21" s="6" t="s">
        <v>120</v>
      </c>
      <c r="D21" s="6" t="s">
        <v>121</v>
      </c>
      <c r="E21" s="6" t="s">
        <v>122</v>
      </c>
      <c r="F21" s="6" t="s">
        <v>123</v>
      </c>
      <c r="G21" s="6" t="s">
        <v>124</v>
      </c>
    </row>
    <row r="22" customFormat="false" ht="21.75" hidden="false" customHeight="true" outlineLevel="0" collapsed="false">
      <c r="A22" s="19" t="s">
        <v>125</v>
      </c>
      <c r="B22" s="19"/>
      <c r="C22" s="19"/>
      <c r="D22" s="19"/>
      <c r="E22" s="19"/>
      <c r="F22" s="19"/>
      <c r="G22" s="19"/>
    </row>
    <row r="23" customFormat="false" ht="24" hidden="false" customHeight="true" outlineLevel="0" collapsed="false">
      <c r="A23" s="4" t="s">
        <v>126</v>
      </c>
      <c r="B23" s="20" t="n">
        <v>1</v>
      </c>
      <c r="C23" s="20" t="n">
        <v>2</v>
      </c>
      <c r="D23" s="20" t="n">
        <v>5</v>
      </c>
      <c r="E23" s="20" t="n">
        <v>3</v>
      </c>
      <c r="F23" s="20" t="n">
        <v>6</v>
      </c>
      <c r="G23" s="20" t="n">
        <v>4</v>
      </c>
    </row>
    <row r="24" customFormat="false" ht="25.5" hidden="false" customHeight="true" outlineLevel="0" collapsed="false">
      <c r="A24" s="4" t="s">
        <v>127</v>
      </c>
      <c r="B24" s="21" t="str">
        <f aca="false">CHOOSE(B23,"Fastest","Very fast","Fast","Medium","Slow","Slowest")</f>
        <v>Fastest</v>
      </c>
      <c r="C24" s="21" t="str">
        <f aca="false">CHOOSE(C23,"Fastest","Very fast","Fast","Medium","Slow","Slowest")</f>
        <v>Very fast</v>
      </c>
      <c r="D24" s="21" t="str">
        <f aca="false">CHOOSE(D23,"Fastest","Very fast","Fast","Medium","Slow","Slowest")</f>
        <v>Slow</v>
      </c>
      <c r="E24" s="21" t="str">
        <f aca="false">CHOOSE(E23,"Fastest","Very fast","Fast","Medium","Slow","Slowest")</f>
        <v>Fast</v>
      </c>
      <c r="F24" s="21" t="str">
        <f aca="false">CHOOSE(F23,"Fastest","Very fast","Fast","Medium","Slow","Slowest")</f>
        <v>Slowest</v>
      </c>
      <c r="G24" s="21" t="str">
        <f aca="false">CHOOSE(G23,"Fastest","Very fast","Fast","Medium","Slow","Slowest")</f>
        <v>Medium</v>
      </c>
    </row>
    <row r="25" customFormat="false" ht="24" hidden="false" customHeight="true" outlineLevel="0" collapsed="false">
      <c r="A25" s="4" t="s">
        <v>128</v>
      </c>
      <c r="B25" s="6" t="s">
        <v>129</v>
      </c>
      <c r="C25" s="6" t="s">
        <v>130</v>
      </c>
      <c r="D25" s="6" t="s">
        <v>131</v>
      </c>
      <c r="E25" s="6" t="s">
        <v>131</v>
      </c>
      <c r="F25" s="6" t="s">
        <v>131</v>
      </c>
      <c r="G25" s="6" t="s">
        <v>131</v>
      </c>
    </row>
    <row r="26" customFormat="false" ht="24" hidden="false" customHeight="true" outlineLevel="0" collapsed="false">
      <c r="A26" s="4" t="s">
        <v>132</v>
      </c>
      <c r="B26" s="6" t="s">
        <v>133</v>
      </c>
      <c r="C26" s="6" t="s">
        <v>134</v>
      </c>
      <c r="D26" s="6" t="s">
        <v>135</v>
      </c>
      <c r="E26" s="6" t="s">
        <v>136</v>
      </c>
      <c r="F26" s="6" t="s">
        <v>137</v>
      </c>
      <c r="G26" s="6" t="s">
        <v>138</v>
      </c>
    </row>
    <row r="27" customFormat="false" ht="33.75" hidden="false" customHeight="true" outlineLevel="0" collapsed="false">
      <c r="A27" s="4" t="s">
        <v>139</v>
      </c>
      <c r="B27" s="6" t="s">
        <v>140</v>
      </c>
      <c r="C27" s="6" t="s">
        <v>140</v>
      </c>
      <c r="D27" s="6" t="s">
        <v>141</v>
      </c>
      <c r="E27" s="6" t="s">
        <v>140</v>
      </c>
      <c r="F27" s="6" t="s">
        <v>142</v>
      </c>
      <c r="G27" s="6" t="s">
        <v>143</v>
      </c>
    </row>
    <row r="28" customFormat="false" ht="21.75" hidden="false" customHeight="true" outlineLevel="0" collapsed="false">
      <c r="A28" s="19" t="s">
        <v>144</v>
      </c>
      <c r="B28" s="19"/>
      <c r="C28" s="19"/>
      <c r="D28" s="19"/>
      <c r="E28" s="19"/>
      <c r="F28" s="19"/>
      <c r="G28" s="19"/>
    </row>
    <row r="29" customFormat="false" ht="25.5" hidden="false" customHeight="true" outlineLevel="0" collapsed="false">
      <c r="A29" s="4" t="s">
        <v>145</v>
      </c>
      <c r="B29" s="22" t="n">
        <f aca="false">Security!F7</f>
        <v>7.75</v>
      </c>
      <c r="C29" s="22" t="n">
        <f aca="false">Security!F8</f>
        <v>7</v>
      </c>
      <c r="D29" s="22" t="n">
        <f aca="false">Security!F9</f>
        <v>6.5</v>
      </c>
      <c r="E29" s="22" t="n">
        <f aca="false">Security!F10</f>
        <v>3.25</v>
      </c>
      <c r="F29" s="22" t="n">
        <f aca="false">Security!F11</f>
        <v>5.25</v>
      </c>
      <c r="G29" s="22" t="n">
        <f aca="false">Security!F12</f>
        <v>4</v>
      </c>
    </row>
    <row r="30" customFormat="false" ht="25.5" hidden="false" customHeight="true" outlineLevel="0" collapsed="false">
      <c r="A30" s="4" t="s">
        <v>27</v>
      </c>
      <c r="B30" s="21" t="str">
        <f aca="false">Security!G7</f>
        <v>Unsafe</v>
      </c>
      <c r="C30" s="21" t="str">
        <f aca="false">Security!G8</f>
        <v>Unsafe</v>
      </c>
      <c r="D30" s="21" t="str">
        <f aca="false">Security!G9</f>
        <v>Medium</v>
      </c>
      <c r="E30" s="21" t="str">
        <f aca="false">Security!G10</f>
        <v>Safe</v>
      </c>
      <c r="F30" s="21" t="str">
        <f aca="false">Security!G11</f>
        <v>Medium</v>
      </c>
      <c r="G30" s="21" t="str">
        <f aca="false">Security!G12</f>
        <v>Medium</v>
      </c>
    </row>
    <row r="31" customFormat="false" ht="25.5" hidden="false" customHeight="true" outlineLevel="0" collapsed="false">
      <c r="A31" s="4" t="s">
        <v>146</v>
      </c>
      <c r="B31" s="23" t="n">
        <f aca="false">Security!H7</f>
        <v>1</v>
      </c>
      <c r="C31" s="23" t="n">
        <f aca="false">Security!H8</f>
        <v>2</v>
      </c>
      <c r="D31" s="23" t="n">
        <f aca="false">Security!H9</f>
        <v>3</v>
      </c>
      <c r="E31" s="23" t="n">
        <f aca="false">Security!H10</f>
        <v>6</v>
      </c>
      <c r="F31" s="23" t="n">
        <f aca="false">Security!H11</f>
        <v>4</v>
      </c>
      <c r="G31" s="23" t="n">
        <f aca="false">Security!H12</f>
        <v>5</v>
      </c>
    </row>
    <row r="32" customFormat="false" ht="33.75" hidden="false" customHeight="true" outlineLevel="0" collapsed="false">
      <c r="A32" s="4" t="s">
        <v>147</v>
      </c>
      <c r="B32" s="6" t="s">
        <v>148</v>
      </c>
      <c r="C32" s="6" t="s">
        <v>149</v>
      </c>
      <c r="D32" s="6" t="s">
        <v>150</v>
      </c>
      <c r="E32" s="6" t="s">
        <v>151</v>
      </c>
      <c r="F32" s="6" t="s">
        <v>152</v>
      </c>
      <c r="G32" s="6" t="s">
        <v>153</v>
      </c>
    </row>
    <row r="33" customFormat="false" ht="33.75" hidden="false" customHeight="true" outlineLevel="0" collapsed="false">
      <c r="A33" s="4" t="s">
        <v>154</v>
      </c>
      <c r="B33" s="6" t="s">
        <v>155</v>
      </c>
      <c r="C33" s="6" t="s">
        <v>156</v>
      </c>
      <c r="D33" s="6" t="s">
        <v>157</v>
      </c>
      <c r="E33" s="6" t="s">
        <v>158</v>
      </c>
      <c r="F33" s="6" t="s">
        <v>159</v>
      </c>
      <c r="G33" s="6" t="s">
        <v>160</v>
      </c>
    </row>
    <row r="34" customFormat="false" ht="24" hidden="false" customHeight="true" outlineLevel="0" collapsed="false">
      <c r="A34" s="4" t="s">
        <v>161</v>
      </c>
      <c r="B34" s="6" t="s">
        <v>162</v>
      </c>
      <c r="C34" s="6" t="s">
        <v>162</v>
      </c>
      <c r="D34" s="6" t="s">
        <v>163</v>
      </c>
      <c r="E34" s="6" t="s">
        <v>164</v>
      </c>
      <c r="F34" s="6" t="s">
        <v>165</v>
      </c>
      <c r="G34" s="6" t="s">
        <v>166</v>
      </c>
    </row>
    <row r="35" customFormat="false" ht="21.75" hidden="false" customHeight="true" outlineLevel="0" collapsed="false">
      <c r="A35" s="19" t="s">
        <v>167</v>
      </c>
      <c r="B35" s="19"/>
      <c r="C35" s="19"/>
      <c r="D35" s="19"/>
      <c r="E35" s="19"/>
      <c r="F35" s="19"/>
      <c r="G35" s="19"/>
    </row>
    <row r="36" customFormat="false" ht="33.75" hidden="false" customHeight="true" outlineLevel="0" collapsed="false">
      <c r="A36" s="4" t="s">
        <v>168</v>
      </c>
      <c r="B36" s="6" t="s">
        <v>169</v>
      </c>
      <c r="C36" s="6" t="s">
        <v>170</v>
      </c>
      <c r="D36" s="6" t="s">
        <v>171</v>
      </c>
      <c r="E36" s="6" t="s">
        <v>172</v>
      </c>
      <c r="F36" s="6" t="s">
        <v>173</v>
      </c>
      <c r="G36" s="6" t="s">
        <v>174</v>
      </c>
    </row>
    <row r="37" customFormat="false" ht="33.75" hidden="false" customHeight="true" outlineLevel="0" collapsed="false">
      <c r="A37" s="4" t="s">
        <v>175</v>
      </c>
      <c r="B37" s="6" t="s">
        <v>176</v>
      </c>
      <c r="C37" s="6" t="s">
        <v>177</v>
      </c>
      <c r="D37" s="6" t="s">
        <v>178</v>
      </c>
      <c r="E37" s="6" t="s">
        <v>179</v>
      </c>
      <c r="F37" s="6" t="s">
        <v>180</v>
      </c>
      <c r="G37" s="6" t="s">
        <v>181</v>
      </c>
    </row>
    <row r="39" customFormat="false" ht="30" hidden="false" customHeight="true" outlineLevel="0" collapsed="false">
      <c r="A39" s="17" t="s">
        <v>182</v>
      </c>
      <c r="B39" s="17"/>
      <c r="C39" s="17"/>
      <c r="D39" s="17"/>
      <c r="E39" s="17"/>
      <c r="F39" s="17"/>
      <c r="G39" s="17"/>
    </row>
  </sheetData>
  <mergeCells count="8">
    <mergeCell ref="A1:G1"/>
    <mergeCell ref="A2:G2"/>
    <mergeCell ref="A5:G5"/>
    <mergeCell ref="A13:G13"/>
    <mergeCell ref="A22:G22"/>
    <mergeCell ref="A28:G28"/>
    <mergeCell ref="A35:G35"/>
    <mergeCell ref="A39:G39"/>
  </mergeCells>
  <conditionalFormatting sqref="B29">
    <cfRule type="expression" priority="2" aboveAverage="0" equalAverage="0" bottom="0" percent="0" rank="0" text="" dxfId="0">
      <formula>B$30="Unsafe"</formula>
    </cfRule>
    <cfRule type="expression" priority="3" aboveAverage="0" equalAverage="0" bottom="0" percent="0" rank="0" text="" dxfId="1">
      <formula>B$30="Medium"</formula>
    </cfRule>
    <cfRule type="expression" priority="4" aboveAverage="0" equalAverage="0" bottom="0" percent="0" rank="0" text="" dxfId="2">
      <formula>B$30="Safe"</formula>
    </cfRule>
  </conditionalFormatting>
  <conditionalFormatting sqref="B30">
    <cfRule type="expression" priority="5" aboveAverage="0" equalAverage="0" bottom="0" percent="0" rank="0" text="" dxfId="0">
      <formula>B$30="Unsafe"</formula>
    </cfRule>
    <cfRule type="expression" priority="6" aboveAverage="0" equalAverage="0" bottom="0" percent="0" rank="0" text="" dxfId="1">
      <formula>B$30="Medium"</formula>
    </cfRule>
    <cfRule type="expression" priority="7" aboveAverage="0" equalAverage="0" bottom="0" percent="0" rank="0" text="" dxfId="2">
      <formula>B$30="Safe"</formula>
    </cfRule>
  </conditionalFormatting>
  <conditionalFormatting sqref="C29">
    <cfRule type="expression" priority="8" aboveAverage="0" equalAverage="0" bottom="0" percent="0" rank="0" text="" dxfId="0">
      <formula>C$30="Unsafe"</formula>
    </cfRule>
    <cfRule type="expression" priority="9" aboveAverage="0" equalAverage="0" bottom="0" percent="0" rank="0" text="" dxfId="1">
      <formula>C$30="Medium"</formula>
    </cfRule>
    <cfRule type="expression" priority="10" aboveAverage="0" equalAverage="0" bottom="0" percent="0" rank="0" text="" dxfId="2">
      <formula>C$30="Safe"</formula>
    </cfRule>
  </conditionalFormatting>
  <conditionalFormatting sqref="C30">
    <cfRule type="expression" priority="11" aboveAverage="0" equalAverage="0" bottom="0" percent="0" rank="0" text="" dxfId="0">
      <formula>C$30="Unsafe"</formula>
    </cfRule>
    <cfRule type="expression" priority="12" aboveAverage="0" equalAverage="0" bottom="0" percent="0" rank="0" text="" dxfId="1">
      <formula>C$30="Medium"</formula>
    </cfRule>
    <cfRule type="expression" priority="13" aboveAverage="0" equalAverage="0" bottom="0" percent="0" rank="0" text="" dxfId="2">
      <formula>C$30="Safe"</formula>
    </cfRule>
  </conditionalFormatting>
  <conditionalFormatting sqref="D29">
    <cfRule type="expression" priority="14" aboveAverage="0" equalAverage="0" bottom="0" percent="0" rank="0" text="" dxfId="0">
      <formula>D$30="Unsafe"</formula>
    </cfRule>
    <cfRule type="expression" priority="15" aboveAverage="0" equalAverage="0" bottom="0" percent="0" rank="0" text="" dxfId="1">
      <formula>D$30="Medium"</formula>
    </cfRule>
    <cfRule type="expression" priority="16" aboveAverage="0" equalAverage="0" bottom="0" percent="0" rank="0" text="" dxfId="2">
      <formula>D$30="Safe"</formula>
    </cfRule>
  </conditionalFormatting>
  <conditionalFormatting sqref="D30">
    <cfRule type="expression" priority="17" aboveAverage="0" equalAverage="0" bottom="0" percent="0" rank="0" text="" dxfId="0">
      <formula>D$30="Unsafe"</formula>
    </cfRule>
    <cfRule type="expression" priority="18" aboveAverage="0" equalAverage="0" bottom="0" percent="0" rank="0" text="" dxfId="1">
      <formula>D$30="Medium"</formula>
    </cfRule>
    <cfRule type="expression" priority="19" aboveAverage="0" equalAverage="0" bottom="0" percent="0" rank="0" text="" dxfId="2">
      <formula>D$30="Safe"</formula>
    </cfRule>
  </conditionalFormatting>
  <conditionalFormatting sqref="E29">
    <cfRule type="expression" priority="20" aboveAverage="0" equalAverage="0" bottom="0" percent="0" rank="0" text="" dxfId="0">
      <formula>E$30="Unsafe"</formula>
    </cfRule>
    <cfRule type="expression" priority="21" aboveAverage="0" equalAverage="0" bottom="0" percent="0" rank="0" text="" dxfId="1">
      <formula>E$30="Medium"</formula>
    </cfRule>
    <cfRule type="expression" priority="22" aboveAverage="0" equalAverage="0" bottom="0" percent="0" rank="0" text="" dxfId="2">
      <formula>E$30="Safe"</formula>
    </cfRule>
  </conditionalFormatting>
  <conditionalFormatting sqref="E30">
    <cfRule type="expression" priority="23" aboveAverage="0" equalAverage="0" bottom="0" percent="0" rank="0" text="" dxfId="0">
      <formula>E$30="Unsafe"</formula>
    </cfRule>
    <cfRule type="expression" priority="24" aboveAverage="0" equalAverage="0" bottom="0" percent="0" rank="0" text="" dxfId="1">
      <formula>E$30="Medium"</formula>
    </cfRule>
    <cfRule type="expression" priority="25" aboveAverage="0" equalAverage="0" bottom="0" percent="0" rank="0" text="" dxfId="2">
      <formula>E$30="Safe"</formula>
    </cfRule>
  </conditionalFormatting>
  <conditionalFormatting sqref="F29">
    <cfRule type="expression" priority="26" aboveAverage="0" equalAverage="0" bottom="0" percent="0" rank="0" text="" dxfId="0">
      <formula>F$30="Unsafe"</formula>
    </cfRule>
    <cfRule type="expression" priority="27" aboveAverage="0" equalAverage="0" bottom="0" percent="0" rank="0" text="" dxfId="1">
      <formula>F$30="Medium"</formula>
    </cfRule>
    <cfRule type="expression" priority="28" aboveAverage="0" equalAverage="0" bottom="0" percent="0" rank="0" text="" dxfId="2">
      <formula>F$30="Safe"</formula>
    </cfRule>
  </conditionalFormatting>
  <conditionalFormatting sqref="F30">
    <cfRule type="expression" priority="29" aboveAverage="0" equalAverage="0" bottom="0" percent="0" rank="0" text="" dxfId="0">
      <formula>F$30="Unsafe"</formula>
    </cfRule>
    <cfRule type="expression" priority="30" aboveAverage="0" equalAverage="0" bottom="0" percent="0" rank="0" text="" dxfId="1">
      <formula>F$30="Medium"</formula>
    </cfRule>
    <cfRule type="expression" priority="31" aboveAverage="0" equalAverage="0" bottom="0" percent="0" rank="0" text="" dxfId="2">
      <formula>F$30="Safe"</formula>
    </cfRule>
  </conditionalFormatting>
  <conditionalFormatting sqref="G29">
    <cfRule type="expression" priority="32" aboveAverage="0" equalAverage="0" bottom="0" percent="0" rank="0" text="" dxfId="0">
      <formula>G$30="Unsafe"</formula>
    </cfRule>
    <cfRule type="expression" priority="33" aboveAverage="0" equalAverage="0" bottom="0" percent="0" rank="0" text="" dxfId="1">
      <formula>G$30="Medium"</formula>
    </cfRule>
    <cfRule type="expression" priority="34" aboveAverage="0" equalAverage="0" bottom="0" percent="0" rank="0" text="" dxfId="2">
      <formula>G$30="Safe"</formula>
    </cfRule>
  </conditionalFormatting>
  <conditionalFormatting sqref="G30">
    <cfRule type="expression" priority="35" aboveAverage="0" equalAverage="0" bottom="0" percent="0" rank="0" text="" dxfId="0">
      <formula>G$30="Unsafe"</formula>
    </cfRule>
    <cfRule type="expression" priority="36" aboveAverage="0" equalAverage="0" bottom="0" percent="0" rank="0" text="" dxfId="1">
      <formula>G$30="Medium"</formula>
    </cfRule>
    <cfRule type="expression" priority="37" aboveAverage="0" equalAverage="0" bottom="0" percent="0" rank="0" text="" dxfId="2">
      <formula>G$30="Safe"</formula>
    </cfRule>
  </conditionalFormatting>
  <conditionalFormatting sqref="B24:G24">
    <cfRule type="expression" priority="38" aboveAverage="0" equalAverage="0" bottom="0" percent="0" rank="0" text="" dxfId="2">
      <formula>OR(B23&lt;=2)</formula>
    </cfRule>
    <cfRule type="expression" priority="39" aboveAverage="0" equalAverage="0" bottom="0" percent="0" rank="0" text="" dxfId="0">
      <formula>OR(B23&gt;=5)</formula>
    </cfRule>
    <cfRule type="expression" priority="40" aboveAverage="0" equalAverage="0" bottom="0" percent="0" rank="0" text="" dxfId="5">
      <formula>AND(B23&gt;2,B23&lt;5)</formula>
    </cfRule>
  </conditionalFormatting>
  <conditionalFormatting sqref="B14:G14">
    <cfRule type="expression" priority="41" aboveAverage="0" equalAverage="0" bottom="0" percent="0" rank="0" text="" dxfId="3">
      <formula>B14="Yes"</formula>
    </cfRule>
    <cfRule type="expression" priority="42" aboveAverage="0" equalAverage="0" bottom="0" percent="0" rank="0" text="" dxfId="4">
      <formula>B14="No"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3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10" min="9" style="0" width="46"/>
  </cols>
  <sheetData>
    <row r="1" customFormat="false" ht="31.5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184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24" t="s">
        <v>185</v>
      </c>
      <c r="B3" s="25" t="n">
        <v>7</v>
      </c>
      <c r="C3" s="26" t="s">
        <v>186</v>
      </c>
    </row>
    <row r="4" customFormat="false" ht="30" hidden="false" customHeight="true" outlineLevel="0" collapsed="false">
      <c r="A4" s="24" t="s">
        <v>187</v>
      </c>
      <c r="B4" s="25" t="n">
        <v>4</v>
      </c>
    </row>
    <row r="6" customFormat="false" ht="43.5" hidden="false" customHeight="true" outlineLevel="0" collapsed="false">
      <c r="A6" s="3" t="s">
        <v>25</v>
      </c>
      <c r="B6" s="3" t="s">
        <v>188</v>
      </c>
      <c r="C6" s="3" t="s">
        <v>189</v>
      </c>
      <c r="D6" s="3" t="s">
        <v>190</v>
      </c>
      <c r="E6" s="3" t="s">
        <v>191</v>
      </c>
      <c r="F6" s="3" t="s">
        <v>192</v>
      </c>
      <c r="G6" s="3" t="s">
        <v>193</v>
      </c>
      <c r="H6" s="3" t="s">
        <v>194</v>
      </c>
      <c r="I6" s="3" t="s">
        <v>195</v>
      </c>
      <c r="J6" s="3" t="s">
        <v>196</v>
      </c>
    </row>
    <row r="7" customFormat="false" ht="74.25" hidden="false" customHeight="true" outlineLevel="0" collapsed="false">
      <c r="A7" s="27" t="s">
        <v>41</v>
      </c>
      <c r="B7" s="28" t="n">
        <v>9</v>
      </c>
      <c r="C7" s="28" t="n">
        <v>9</v>
      </c>
      <c r="D7" s="28" t="n">
        <v>8</v>
      </c>
      <c r="E7" s="28" t="n">
        <v>5</v>
      </c>
      <c r="F7" s="11" t="n">
        <f aca="false">AVERAGE(B7:E7)</f>
        <v>7.75</v>
      </c>
      <c r="G7" s="12" t="str">
        <f aca="false">IF(F7&gt;=$B$3,"Unsafe",IF(F7&gt;=$B$4,"Medium","Safe"))</f>
        <v>Unsafe</v>
      </c>
      <c r="H7" s="12" t="n">
        <f aca="false">RANK(F7,$F$7:$F$12,0)</f>
        <v>1</v>
      </c>
      <c r="I7" s="6" t="s">
        <v>197</v>
      </c>
      <c r="J7" s="6" t="s">
        <v>198</v>
      </c>
    </row>
    <row r="8" customFormat="false" ht="47.25" hidden="false" customHeight="true" outlineLevel="0" collapsed="false">
      <c r="A8" s="27" t="s">
        <v>42</v>
      </c>
      <c r="B8" s="28" t="n">
        <v>8</v>
      </c>
      <c r="C8" s="28" t="n">
        <v>8</v>
      </c>
      <c r="D8" s="28" t="n">
        <v>8</v>
      </c>
      <c r="E8" s="28" t="n">
        <v>4</v>
      </c>
      <c r="F8" s="11" t="n">
        <f aca="false">AVERAGE(B8:E8)</f>
        <v>7</v>
      </c>
      <c r="G8" s="12" t="str">
        <f aca="false">IF(F8&gt;=$B$3,"Unsafe",IF(F8&gt;=$B$4,"Medium","Safe"))</f>
        <v>Unsafe</v>
      </c>
      <c r="H8" s="12" t="n">
        <f aca="false">RANK(F8,$F$7:$F$12,0)</f>
        <v>2</v>
      </c>
      <c r="I8" s="6" t="s">
        <v>199</v>
      </c>
      <c r="J8" s="6" t="s">
        <v>200</v>
      </c>
    </row>
    <row r="9" customFormat="false" ht="47.25" hidden="false" customHeight="true" outlineLevel="0" collapsed="false">
      <c r="A9" s="27" t="s">
        <v>43</v>
      </c>
      <c r="B9" s="28" t="n">
        <v>5</v>
      </c>
      <c r="C9" s="28" t="n">
        <v>6</v>
      </c>
      <c r="D9" s="28" t="n">
        <v>6</v>
      </c>
      <c r="E9" s="28" t="n">
        <v>9</v>
      </c>
      <c r="F9" s="11" t="n">
        <f aca="false">AVERAGE(B9:E9)</f>
        <v>6.5</v>
      </c>
      <c r="G9" s="12" t="str">
        <f aca="false">IF(F9&gt;=$B$3,"Unsafe",IF(F9&gt;=$B$4,"Medium","Safe"))</f>
        <v>Medium</v>
      </c>
      <c r="H9" s="12" t="n">
        <f aca="false">RANK(F9,$F$7:$F$12,0)</f>
        <v>3</v>
      </c>
      <c r="I9" s="6" t="s">
        <v>201</v>
      </c>
      <c r="J9" s="6" t="s">
        <v>202</v>
      </c>
    </row>
    <row r="10" customFormat="false" ht="47.25" hidden="false" customHeight="true" outlineLevel="0" collapsed="false">
      <c r="A10" s="27" t="s">
        <v>44</v>
      </c>
      <c r="B10" s="28" t="n">
        <v>3</v>
      </c>
      <c r="C10" s="28" t="n">
        <v>3</v>
      </c>
      <c r="D10" s="28" t="n">
        <v>3</v>
      </c>
      <c r="E10" s="28" t="n">
        <v>4</v>
      </c>
      <c r="F10" s="11" t="n">
        <f aca="false">AVERAGE(B10:E10)</f>
        <v>3.25</v>
      </c>
      <c r="G10" s="12" t="str">
        <f aca="false">IF(F10&gt;=$B$3,"Unsafe",IF(F10&gt;=$B$4,"Medium","Safe"))</f>
        <v>Safe</v>
      </c>
      <c r="H10" s="12" t="n">
        <f aca="false">RANK(F10,$F$7:$F$12,0)</f>
        <v>6</v>
      </c>
      <c r="I10" s="6" t="s">
        <v>203</v>
      </c>
      <c r="J10" s="6" t="s">
        <v>204</v>
      </c>
    </row>
    <row r="11" customFormat="false" ht="43.5" hidden="false" customHeight="true" outlineLevel="0" collapsed="false">
      <c r="A11" s="27" t="s">
        <v>45</v>
      </c>
      <c r="B11" s="28" t="n">
        <v>6</v>
      </c>
      <c r="C11" s="28" t="n">
        <v>4</v>
      </c>
      <c r="D11" s="28" t="n">
        <v>5</v>
      </c>
      <c r="E11" s="28" t="n">
        <v>6</v>
      </c>
      <c r="F11" s="11" t="n">
        <f aca="false">AVERAGE(B11:E11)</f>
        <v>5.25</v>
      </c>
      <c r="G11" s="12" t="str">
        <f aca="false">IF(F11&gt;=$B$3,"Unsafe",IF(F11&gt;=$B$4,"Medium","Safe"))</f>
        <v>Medium</v>
      </c>
      <c r="H11" s="12" t="n">
        <f aca="false">RANK(F11,$F$7:$F$12,0)</f>
        <v>4</v>
      </c>
      <c r="I11" s="6" t="s">
        <v>205</v>
      </c>
      <c r="J11" s="6" t="s">
        <v>206</v>
      </c>
    </row>
    <row r="12" customFormat="false" ht="47.25" hidden="false" customHeight="true" outlineLevel="0" collapsed="false">
      <c r="A12" s="27" t="s">
        <v>46</v>
      </c>
      <c r="B12" s="28" t="n">
        <v>5</v>
      </c>
      <c r="C12" s="28" t="n">
        <v>4</v>
      </c>
      <c r="D12" s="28" t="n">
        <v>4</v>
      </c>
      <c r="E12" s="28" t="n">
        <v>3</v>
      </c>
      <c r="F12" s="11" t="n">
        <f aca="false">AVERAGE(B12:E12)</f>
        <v>4</v>
      </c>
      <c r="G12" s="12" t="str">
        <f aca="false">IF(F12&gt;=$B$3,"Unsafe",IF(F12&gt;=$B$4,"Medium","Safe"))</f>
        <v>Medium</v>
      </c>
      <c r="H12" s="12" t="n">
        <f aca="false">RANK(F12,$F$7:$F$12,0)</f>
        <v>5</v>
      </c>
      <c r="I12" s="6" t="s">
        <v>207</v>
      </c>
      <c r="J12" s="6" t="s">
        <v>208</v>
      </c>
    </row>
    <row r="14" customFormat="false" ht="15" hidden="false" customHeight="false" outlineLevel="0" collapsed="false">
      <c r="A14" s="29" t="s">
        <v>209</v>
      </c>
    </row>
    <row r="15" customFormat="false" ht="27.75" hidden="false" customHeight="true" outlineLevel="0" collapsed="false">
      <c r="A15" s="30" t="s">
        <v>210</v>
      </c>
      <c r="B15" s="30"/>
      <c r="C15" s="30"/>
      <c r="D15" s="30"/>
      <c r="E15" s="30"/>
      <c r="F15" s="30"/>
      <c r="G15" s="30"/>
      <c r="H15" s="30"/>
      <c r="I15" s="30"/>
      <c r="J15" s="30"/>
    </row>
    <row r="16" customFormat="false" ht="27.75" hidden="false" customHeight="true" outlineLevel="0" collapsed="false">
      <c r="A16" s="30" t="s">
        <v>211</v>
      </c>
      <c r="B16" s="30"/>
      <c r="C16" s="30"/>
      <c r="D16" s="30"/>
      <c r="E16" s="30"/>
      <c r="F16" s="30"/>
      <c r="G16" s="30"/>
      <c r="H16" s="30"/>
      <c r="I16" s="30"/>
      <c r="J16" s="30"/>
    </row>
    <row r="17" customFormat="false" ht="27.75" hidden="false" customHeight="true" outlineLevel="0" collapsed="false">
      <c r="A17" s="30" t="s">
        <v>212</v>
      </c>
      <c r="B17" s="30"/>
      <c r="C17" s="30"/>
      <c r="D17" s="30"/>
      <c r="E17" s="30"/>
      <c r="F17" s="30"/>
      <c r="G17" s="30"/>
      <c r="H17" s="30"/>
      <c r="I17" s="30"/>
      <c r="J17" s="30"/>
    </row>
  </sheetData>
  <mergeCells count="5">
    <mergeCell ref="A1:J1"/>
    <mergeCell ref="A2:J2"/>
    <mergeCell ref="A15:J15"/>
    <mergeCell ref="A16:J16"/>
    <mergeCell ref="A17:J17"/>
  </mergeCells>
  <conditionalFormatting sqref="F7:G12">
    <cfRule type="expression" priority="2" aboveAverage="0" equalAverage="0" bottom="0" percent="0" rank="0" text="" dxfId="0">
      <formula>$G7="Unsafe"</formula>
    </cfRule>
    <cfRule type="expression" priority="3" aboveAverage="0" equalAverage="0" bottom="0" percent="0" rank="0" text="" dxfId="1">
      <formula>$G7="Medium"</formula>
    </cfRule>
    <cfRule type="expression" priority="4" aboveAverage="0" equalAverage="0" bottom="0" percent="0" rank="0" text="" dxfId="2">
      <formula>$G7="Safe"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44"/>
    <col collapsed="false" customWidth="true" hidden="false" outlineLevel="0" max="9" min="9" style="0" width="34"/>
  </cols>
  <sheetData>
    <row r="1" customFormat="false" ht="31.5" hidden="false" customHeight="true" outlineLevel="0" collapsed="false">
      <c r="A1" s="1" t="s">
        <v>213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214</v>
      </c>
      <c r="B2" s="2"/>
      <c r="C2" s="2"/>
      <c r="D2" s="2"/>
      <c r="E2" s="2"/>
      <c r="F2" s="2"/>
      <c r="G2" s="2"/>
      <c r="H2" s="2"/>
      <c r="I2" s="2"/>
    </row>
    <row r="4" customFormat="false" ht="43.5" hidden="false" customHeight="true" outlineLevel="0" collapsed="false">
      <c r="A4" s="3" t="s">
        <v>25</v>
      </c>
      <c r="B4" s="3" t="s">
        <v>215</v>
      </c>
      <c r="C4" s="3" t="s">
        <v>216</v>
      </c>
      <c r="D4" s="3" t="s">
        <v>217</v>
      </c>
      <c r="E4" s="3" t="s">
        <v>218</v>
      </c>
      <c r="F4" s="3" t="s">
        <v>219</v>
      </c>
      <c r="G4" s="3" t="s">
        <v>220</v>
      </c>
      <c r="H4" s="3" t="s">
        <v>221</v>
      </c>
      <c r="I4" s="3" t="s">
        <v>29</v>
      </c>
    </row>
    <row r="5" customFormat="false" ht="39.75" hidden="false" customHeight="true" outlineLevel="0" collapsed="false">
      <c r="A5" s="31" t="s">
        <v>41</v>
      </c>
      <c r="B5" s="32" t="n">
        <v>32</v>
      </c>
      <c r="C5" s="32" t="n">
        <v>1040</v>
      </c>
      <c r="D5" s="32" t="n">
        <v>16</v>
      </c>
      <c r="E5" s="32" t="n">
        <f aca="false">(C5-B5)/D5+1</f>
        <v>64</v>
      </c>
      <c r="F5" s="32" t="n">
        <v>7</v>
      </c>
      <c r="G5" s="32" t="n">
        <f aca="false">E5*(B5+C5)/2*F5</f>
        <v>240128</v>
      </c>
      <c r="H5" s="6" t="s">
        <v>222</v>
      </c>
      <c r="I5" s="12" t="s">
        <v>92</v>
      </c>
    </row>
    <row r="6" customFormat="false" ht="39.75" hidden="false" customHeight="true" outlineLevel="0" collapsed="false">
      <c r="A6" s="31" t="s">
        <v>42</v>
      </c>
      <c r="B6" s="32" t="n">
        <v>32</v>
      </c>
      <c r="C6" s="32" t="n">
        <v>128</v>
      </c>
      <c r="D6" s="32" t="n">
        <v>16</v>
      </c>
      <c r="E6" s="32" t="n">
        <f aca="false">(C6-B6)/D6+1</f>
        <v>7</v>
      </c>
      <c r="F6" s="32" t="s">
        <v>111</v>
      </c>
      <c r="G6" s="32" t="s">
        <v>223</v>
      </c>
      <c r="H6" s="6" t="s">
        <v>224</v>
      </c>
      <c r="I6" s="12" t="s">
        <v>92</v>
      </c>
    </row>
    <row r="7" customFormat="false" ht="47.25" hidden="false" customHeight="true" outlineLevel="0" collapsed="false">
      <c r="A7" s="31" t="s">
        <v>43</v>
      </c>
      <c r="B7" s="32" t="s">
        <v>76</v>
      </c>
      <c r="C7" s="32" t="s">
        <v>76</v>
      </c>
      <c r="D7" s="32" t="s">
        <v>76</v>
      </c>
      <c r="E7" s="32" t="s">
        <v>76</v>
      </c>
      <c r="F7" s="32" t="s">
        <v>111</v>
      </c>
      <c r="G7" s="32" t="s">
        <v>223</v>
      </c>
      <c r="H7" s="6" t="s">
        <v>225</v>
      </c>
      <c r="I7" s="12" t="s">
        <v>93</v>
      </c>
    </row>
    <row r="8" customFormat="false" ht="39.75" hidden="false" customHeight="true" outlineLevel="0" collapsed="false">
      <c r="A8" s="31" t="s">
        <v>44</v>
      </c>
      <c r="B8" s="32" t="n">
        <v>32</v>
      </c>
      <c r="C8" s="32" t="n">
        <v>1008</v>
      </c>
      <c r="D8" s="32" t="n">
        <v>16</v>
      </c>
      <c r="E8" s="32" t="n">
        <f aca="false">(C8-B8)/D8+1</f>
        <v>62</v>
      </c>
      <c r="F8" s="32" t="s">
        <v>111</v>
      </c>
      <c r="G8" s="32" t="s">
        <v>223</v>
      </c>
      <c r="H8" s="6" t="s">
        <v>226</v>
      </c>
      <c r="I8" s="12" t="s">
        <v>92</v>
      </c>
    </row>
    <row r="9" customFormat="false" ht="47.25" hidden="false" customHeight="true" outlineLevel="0" collapsed="false">
      <c r="A9" s="31" t="s">
        <v>45</v>
      </c>
      <c r="B9" s="32" t="n">
        <v>1024</v>
      </c>
      <c r="C9" s="32" t="n">
        <v>131072</v>
      </c>
      <c r="D9" s="32" t="s">
        <v>76</v>
      </c>
      <c r="E9" s="32" t="n">
        <v>63</v>
      </c>
      <c r="F9" s="32" t="s">
        <v>111</v>
      </c>
      <c r="G9" s="32" t="s">
        <v>223</v>
      </c>
      <c r="H9" s="6" t="s">
        <v>227</v>
      </c>
      <c r="I9" s="12" t="s">
        <v>93</v>
      </c>
    </row>
    <row r="10" customFormat="false" ht="39.75" hidden="false" customHeight="true" outlineLevel="0" collapsed="false">
      <c r="A10" s="31" t="s">
        <v>46</v>
      </c>
      <c r="B10" s="32" t="s">
        <v>76</v>
      </c>
      <c r="C10" s="32" t="s">
        <v>76</v>
      </c>
      <c r="D10" s="32" t="s">
        <v>76</v>
      </c>
      <c r="E10" s="32" t="n">
        <v>1</v>
      </c>
      <c r="F10" s="32" t="n">
        <v>1</v>
      </c>
      <c r="G10" s="32" t="s">
        <v>228</v>
      </c>
      <c r="H10" s="6" t="s">
        <v>229</v>
      </c>
      <c r="I10" s="12" t="s">
        <v>93</v>
      </c>
    </row>
    <row r="12" customFormat="false" ht="15" hidden="false" customHeight="false" outlineLevel="0" collapsed="false">
      <c r="A12" s="33" t="s">
        <v>230</v>
      </c>
    </row>
    <row r="13" customFormat="false" ht="15" hidden="false" customHeight="false" outlineLevel="0" collapsed="false">
      <c r="A13" s="29" t="s">
        <v>231</v>
      </c>
      <c r="B13" s="23" t="n">
        <f aca="false">COUNTIF(I5:I10,"Yes")</f>
        <v>3</v>
      </c>
    </row>
    <row r="14" customFormat="false" ht="15" hidden="false" customHeight="false" outlineLevel="0" collapsed="false">
      <c r="A14" s="29" t="s">
        <v>232</v>
      </c>
      <c r="B14" s="23" t="n">
        <f aca="false">COUNTIF(I5:I10,"No")</f>
        <v>3</v>
      </c>
    </row>
    <row r="15" customFormat="false" ht="15" hidden="false" customHeight="false" outlineLevel="0" collapsed="false">
      <c r="A15" s="29" t="s">
        <v>233</v>
      </c>
      <c r="B15" s="34" t="n">
        <f aca="false">E5</f>
        <v>64</v>
      </c>
    </row>
    <row r="17" customFormat="false" ht="39.75" hidden="false" customHeight="true" outlineLevel="0" collapsed="false">
      <c r="A17" s="17" t="s">
        <v>234</v>
      </c>
      <c r="B17" s="17"/>
      <c r="C17" s="17"/>
      <c r="D17" s="17"/>
      <c r="E17" s="17"/>
      <c r="F17" s="17"/>
      <c r="G17" s="17"/>
      <c r="H17" s="17"/>
      <c r="I17" s="17"/>
    </row>
  </sheetData>
  <mergeCells count="3">
    <mergeCell ref="A1:I1"/>
    <mergeCell ref="A2:I2"/>
    <mergeCell ref="A17:I17"/>
  </mergeCells>
  <conditionalFormatting sqref="I5:I10">
    <cfRule type="expression" priority="2" aboveAverage="0" equalAverage="0" bottom="0" percent="0" rank="0" text="" dxfId="3">
      <formula>I5="Yes"</formula>
    </cfRule>
    <cfRule type="expression" priority="3" aboveAverage="0" equalAverage="0" bottom="0" percent="0" rank="0" text="" dxfId="4">
      <formula>I5="No"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1" t="s">
        <v>235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236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237</v>
      </c>
      <c r="B4" s="3" t="s">
        <v>238</v>
      </c>
      <c r="C4" s="3" t="s">
        <v>239</v>
      </c>
      <c r="D4" s="3" t="s">
        <v>240</v>
      </c>
      <c r="E4" s="3" t="s">
        <v>241</v>
      </c>
      <c r="F4" s="3" t="s">
        <v>242</v>
      </c>
      <c r="G4" s="3" t="s">
        <v>243</v>
      </c>
    </row>
    <row r="5" customFormat="false" ht="33.75" hidden="false" customHeight="true" outlineLevel="0" collapsed="false">
      <c r="A5" s="35" t="s">
        <v>244</v>
      </c>
      <c r="B5" s="6" t="s">
        <v>245</v>
      </c>
      <c r="C5" s="6" t="s">
        <v>246</v>
      </c>
      <c r="D5" s="12" t="s">
        <v>247</v>
      </c>
      <c r="E5" s="6" t="s">
        <v>248</v>
      </c>
      <c r="F5" s="12" t="s">
        <v>40</v>
      </c>
      <c r="G5" s="12" t="s">
        <v>249</v>
      </c>
    </row>
    <row r="6" customFormat="false" ht="33.75" hidden="false" customHeight="true" outlineLevel="0" collapsed="false">
      <c r="A6" s="35" t="s">
        <v>250</v>
      </c>
      <c r="B6" s="6" t="s">
        <v>251</v>
      </c>
      <c r="C6" s="6" t="s">
        <v>246</v>
      </c>
      <c r="D6" s="12" t="s">
        <v>247</v>
      </c>
      <c r="E6" s="6" t="s">
        <v>42</v>
      </c>
      <c r="F6" s="12" t="s">
        <v>40</v>
      </c>
      <c r="G6" s="12" t="s">
        <v>249</v>
      </c>
    </row>
    <row r="7" customFormat="false" ht="33.75" hidden="false" customHeight="true" outlineLevel="0" collapsed="false">
      <c r="A7" s="35" t="s">
        <v>252</v>
      </c>
      <c r="B7" s="6" t="s">
        <v>253</v>
      </c>
      <c r="C7" s="6" t="s">
        <v>254</v>
      </c>
      <c r="D7" s="12" t="s">
        <v>247</v>
      </c>
      <c r="E7" s="6" t="s">
        <v>255</v>
      </c>
      <c r="F7" s="12" t="s">
        <v>40</v>
      </c>
      <c r="G7" s="12" t="s">
        <v>249</v>
      </c>
    </row>
    <row r="8" customFormat="false" ht="25.5" hidden="false" customHeight="true" outlineLevel="0" collapsed="false">
      <c r="A8" s="35" t="s">
        <v>256</v>
      </c>
      <c r="B8" s="6" t="s">
        <v>257</v>
      </c>
      <c r="C8" s="6" t="s">
        <v>258</v>
      </c>
      <c r="D8" s="12" t="s">
        <v>259</v>
      </c>
      <c r="E8" s="6" t="s">
        <v>260</v>
      </c>
      <c r="F8" s="12" t="s">
        <v>40</v>
      </c>
      <c r="G8" s="12" t="s">
        <v>249</v>
      </c>
    </row>
    <row r="9" customFormat="false" ht="25.5" hidden="false" customHeight="true" outlineLevel="0" collapsed="false">
      <c r="A9" s="35" t="s">
        <v>261</v>
      </c>
      <c r="B9" s="6" t="s">
        <v>262</v>
      </c>
      <c r="C9" s="6" t="s">
        <v>263</v>
      </c>
      <c r="D9" s="12" t="s">
        <v>264</v>
      </c>
      <c r="E9" s="6" t="s">
        <v>41</v>
      </c>
      <c r="F9" s="12" t="s">
        <v>40</v>
      </c>
      <c r="G9" s="12" t="s">
        <v>249</v>
      </c>
    </row>
    <row r="10" customFormat="false" ht="33.75" hidden="false" customHeight="true" outlineLevel="0" collapsed="false">
      <c r="A10" s="35" t="s">
        <v>265</v>
      </c>
      <c r="B10" s="6" t="s">
        <v>266</v>
      </c>
      <c r="C10" s="6" t="s">
        <v>267</v>
      </c>
      <c r="D10" s="12" t="s">
        <v>268</v>
      </c>
      <c r="E10" s="6" t="s">
        <v>41</v>
      </c>
      <c r="F10" s="12" t="s">
        <v>269</v>
      </c>
      <c r="G10" s="12" t="s">
        <v>270</v>
      </c>
    </row>
    <row r="11" customFormat="false" ht="33.75" hidden="false" customHeight="true" outlineLevel="0" collapsed="false">
      <c r="A11" s="35" t="s">
        <v>271</v>
      </c>
      <c r="B11" s="6" t="s">
        <v>272</v>
      </c>
      <c r="C11" s="6" t="s">
        <v>258</v>
      </c>
      <c r="D11" s="12" t="s">
        <v>273</v>
      </c>
      <c r="E11" s="6" t="s">
        <v>42</v>
      </c>
      <c r="F11" s="12" t="s">
        <v>274</v>
      </c>
      <c r="G11" s="12" t="s">
        <v>270</v>
      </c>
    </row>
    <row r="12" customFormat="false" ht="25.5" hidden="false" customHeight="true" outlineLevel="0" collapsed="false">
      <c r="A12" s="35" t="s">
        <v>275</v>
      </c>
      <c r="B12" s="6" t="s">
        <v>276</v>
      </c>
      <c r="C12" s="6" t="s">
        <v>258</v>
      </c>
      <c r="D12" s="12" t="s">
        <v>277</v>
      </c>
      <c r="E12" s="6" t="s">
        <v>41</v>
      </c>
      <c r="F12" s="12" t="s">
        <v>274</v>
      </c>
      <c r="G12" s="12" t="s">
        <v>278</v>
      </c>
    </row>
    <row r="13" customFormat="false" ht="25.5" hidden="false" customHeight="true" outlineLevel="0" collapsed="false">
      <c r="A13" s="35" t="s">
        <v>275</v>
      </c>
      <c r="B13" s="6" t="s">
        <v>279</v>
      </c>
      <c r="C13" s="6" t="s">
        <v>258</v>
      </c>
      <c r="D13" s="12" t="s">
        <v>277</v>
      </c>
      <c r="E13" s="6" t="s">
        <v>43</v>
      </c>
      <c r="F13" s="12" t="s">
        <v>274</v>
      </c>
      <c r="G13" s="12" t="s">
        <v>278</v>
      </c>
    </row>
    <row r="14" customFormat="false" ht="25.5" hidden="false" customHeight="true" outlineLevel="0" collapsed="false">
      <c r="A14" s="35" t="s">
        <v>275</v>
      </c>
      <c r="B14" s="6" t="s">
        <v>280</v>
      </c>
      <c r="C14" s="6" t="s">
        <v>258</v>
      </c>
      <c r="D14" s="12" t="s">
        <v>277</v>
      </c>
      <c r="E14" s="6" t="s">
        <v>46</v>
      </c>
      <c r="F14" s="12" t="s">
        <v>274</v>
      </c>
      <c r="G14" s="12" t="s">
        <v>278</v>
      </c>
    </row>
    <row r="15" customFormat="false" ht="33.75" hidden="false" customHeight="true" outlineLevel="0" collapsed="false">
      <c r="A15" s="35" t="s">
        <v>281</v>
      </c>
      <c r="B15" s="6" t="s">
        <v>282</v>
      </c>
      <c r="C15" s="6" t="s">
        <v>258</v>
      </c>
      <c r="D15" s="12" t="s">
        <v>283</v>
      </c>
      <c r="E15" s="6" t="s">
        <v>45</v>
      </c>
      <c r="F15" s="12" t="s">
        <v>274</v>
      </c>
      <c r="G15" s="12" t="s">
        <v>270</v>
      </c>
    </row>
    <row r="16" customFormat="false" ht="33.75" hidden="false" customHeight="true" outlineLevel="0" collapsed="false">
      <c r="A16" s="35" t="s">
        <v>284</v>
      </c>
      <c r="B16" s="6" t="s">
        <v>285</v>
      </c>
      <c r="C16" s="6" t="s">
        <v>286</v>
      </c>
      <c r="D16" s="12" t="s">
        <v>287</v>
      </c>
      <c r="E16" s="6" t="s">
        <v>288</v>
      </c>
      <c r="F16" s="12" t="s">
        <v>274</v>
      </c>
      <c r="G16" s="12" t="s">
        <v>270</v>
      </c>
    </row>
    <row r="17" customFormat="false" ht="33.75" hidden="false" customHeight="true" outlineLevel="0" collapsed="false">
      <c r="A17" s="35" t="s">
        <v>289</v>
      </c>
      <c r="B17" s="6" t="s">
        <v>290</v>
      </c>
      <c r="C17" s="6" t="s">
        <v>258</v>
      </c>
      <c r="D17" s="12" t="s">
        <v>291</v>
      </c>
      <c r="E17" s="6" t="s">
        <v>260</v>
      </c>
      <c r="F17" s="12" t="s">
        <v>274</v>
      </c>
      <c r="G17" s="12" t="s">
        <v>278</v>
      </c>
    </row>
    <row r="18" customFormat="false" ht="33.75" hidden="false" customHeight="true" outlineLevel="0" collapsed="false">
      <c r="A18" s="35" t="s">
        <v>292</v>
      </c>
      <c r="B18" s="6" t="s">
        <v>293</v>
      </c>
      <c r="C18" s="6" t="s">
        <v>294</v>
      </c>
      <c r="D18" s="12" t="s">
        <v>295</v>
      </c>
      <c r="E18" s="6" t="s">
        <v>296</v>
      </c>
      <c r="F18" s="12" t="s">
        <v>269</v>
      </c>
      <c r="G18" s="12" t="s">
        <v>297</v>
      </c>
    </row>
    <row r="20" customFormat="false" ht="30" hidden="false" customHeight="true" outlineLevel="0" collapsed="false">
      <c r="A20" s="17" t="s">
        <v>298</v>
      </c>
      <c r="B20" s="17"/>
      <c r="C20" s="17"/>
      <c r="D20" s="17"/>
      <c r="E20" s="17"/>
      <c r="F20" s="17"/>
      <c r="G20" s="17"/>
    </row>
  </sheetData>
  <mergeCells count="3">
    <mergeCell ref="A1:G1"/>
    <mergeCell ref="A2:G2"/>
    <mergeCell ref="A20:G20"/>
  </mergeCells>
  <conditionalFormatting sqref="G5:G18">
    <cfRule type="expression" priority="2" aboveAverage="0" equalAverage="0" bottom="0" percent="0" rank="0" text="" dxfId="2">
      <formula>G5="Fixed"</formula>
    </cfRule>
    <cfRule type="expression" priority="3" aboveAverage="0" equalAverage="0" bottom="0" percent="0" rank="0" text="" dxfId="5">
      <formula>G5="Partially fixed"</formula>
    </cfRule>
    <cfRule type="expression" priority="4" aboveAverage="0" equalAverage="0" bottom="0" percent="0" rank="0" text="" dxfId="0">
      <formula>G5="Still exploitable"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2026-10-17T07:13:28Z</dcterms:created>
  <dc:creator>openpyxl</dc:creator>
  <dc:description/>
  <dc:language>en-US</dc:language>
  <cp:lastModifiedBy/>
  <dcterms:modified xsi:type="dcterms:W3CDTF">2026-10-17T07:13:30Z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