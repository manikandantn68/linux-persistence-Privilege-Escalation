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tack Layout" sheetId="2" state="visible" r:id="rId4"/>
    <sheet name="Compiler Flags" sheetId="3" state="visible" r:id="rId5"/>
    <sheet name="Verification" sheetId="4" state="visible" r:id="rId6"/>
    <sheet name="Attacks vs Defenses" sheetId="5" state="visible" r:id="rId7"/>
    <sheet name="Kernel and OS" sheetId="6" state="visible" r:id="rId8"/>
    <sheet name="Windows" sheetId="7" state="visible" r:id="rId9"/>
    <sheet name="Kernel Stack Defenses" sheetId="8" state="visible" r:id="rId10"/>
    <sheet name="OS-Based Security" sheetId="9" state="visible" r:id="rId11"/>
    <sheet name="Hardware-Based Security" sheetId="10" state="visible" r:id="rId12"/>
    <sheet name="Checklist" sheetId="11" state="visible" r:id="rId13"/>
  </sheets>
  <definedNames>
    <definedName function="false" hidden="true" localSheetId="4" name="_xlnm._FilterDatabase" vbProcedure="false">'Attacks vs Defenses'!$A$3:$D$19</definedName>
    <definedName function="false" hidden="true" localSheetId="10" name="_xlnm._FilterDatabase" vbProcedure="false">Checklist!$A$3:$D$21</definedName>
    <definedName function="false" hidden="true" localSheetId="2" name="_xlnm._FilterDatabase" vbProcedure="false">'Compiler Flags'!$A$3:$D$27</definedName>
    <definedName function="false" hidden="true" localSheetId="9" name="_xlnm._FilterDatabase" vbProcedure="false">'Hardware-Based Security'!$A$3:$G$19</definedName>
    <definedName function="false" hidden="true" localSheetId="5" name="_xlnm._FilterDatabase" vbProcedure="false">'Kernel and OS'!$A$3:$D$16</definedName>
    <definedName function="false" hidden="true" localSheetId="7" name="_xlnm._FilterDatabase" vbProcedure="false">'Kernel Stack Defenses'!$A$3:$H$9</definedName>
    <definedName function="false" hidden="true" localSheetId="8" name="_xlnm._FilterDatabase" vbProcedure="false">'OS-Based Security'!$A$3:$F$29</definedName>
    <definedName function="false" hidden="true" localSheetId="0" name="_xlnm._FilterDatabase" vbProcedure="false">Overview!$A$3:$F$23</definedName>
    <definedName function="false" hidden="true" localSheetId="1" name="_xlnm._FilterDatabase" vbProcedure="false">'Stack Layout'!$A$3:$C$13</definedName>
    <definedName function="false" hidden="true" localSheetId="3" name="_xlnm._FilterDatabase" vbProcedure="false">Verification!$A$3:$C$21</definedName>
    <definedName function="false" hidden="true" localSheetId="6" name="_xlnm._FilterDatabase" vbProcedure="false">Windows!$A$3:$D$15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<sst xmlns="http://schemas.openxmlformats.org/spreadsheetml/2006/main" count="890" uniqueCount="717">
  <si>
    <t xml:space="preserve">Stack Memory Protection - Overview</t>
  </si>
  <si>
    <t xml:space="preserve">Hacker Tamizha reference. Stack memory protections - user space. Kernel and Windows on separate tabs.</t>
  </si>
  <si>
    <t xml:space="preserve">Protection</t>
  </si>
  <si>
    <t xml:space="preserve">Layer</t>
  </si>
  <si>
    <t xml:space="preserve">Stops</t>
  </si>
  <si>
    <t xml:space="preserve">How it works</t>
  </si>
  <si>
    <t xml:space="preserve">Enable / default state</t>
  </si>
  <si>
    <t xml:space="preserve">Overhead</t>
  </si>
  <si>
    <t xml:space="preserve">Stack canary (SSP)</t>
  </si>
  <si>
    <t xml:space="preserve">Compiler + libc</t>
  </si>
  <si>
    <t xml:space="preserve">Linear stack buffer overflow reaching saved RBP / return address</t>
  </si>
  <si>
    <t xml:space="preserve">Random value placed between locals and saved frame data; verified in function epilogue; mismatch calls __stack_chk_fail and aborts</t>
  </si>
  <si>
    <t xml:space="preserve">Default -fstack-protector-strong on Ubuntu/Debian/Fedora/Arch toolchains</t>
  </si>
  <si>
    <t xml:space="preserve">Low</t>
  </si>
  <si>
    <t xml:space="preserve">NX / DEP (non-exec stack)</t>
  </si>
  <si>
    <t xml:space="preserve">CPU + kernel + linker</t>
  </si>
  <si>
    <t xml:space="preserve">Running injected shellcode from the stack</t>
  </si>
  <si>
    <t xml:space="preserve">Stack pages mapped RW not X; PT_GNU_STACK flag RW; NX/XD bit in page tables</t>
  </si>
  <si>
    <t xml:space="preserve">On by default everywhere</t>
  </si>
  <si>
    <t xml:space="preserve">None</t>
  </si>
  <si>
    <t xml:space="preserve">ASLR</t>
  </si>
  <si>
    <t xml:space="preserve">Kernel</t>
  </si>
  <si>
    <t xml:space="preserve">Hardcoded-address ret2libc / ROP</t>
  </si>
  <si>
    <t xml:space="preserve">Randomizes stack, heap, mmap, shared library, vdso bases each run</t>
  </si>
  <si>
    <t xml:space="preserve">kernel.randomize_va_space=2</t>
  </si>
  <si>
    <t xml:space="preserve">PIE</t>
  </si>
  <si>
    <t xml:space="preserve">Compiler + linker</t>
  </si>
  <si>
    <t xml:space="preserve">Fixed code/PLT/GOT addresses in main binary</t>
  </si>
  <si>
    <t xml:space="preserve">Executable built position-independent (ET_DYN) so ASLR also moves the binary</t>
  </si>
  <si>
    <t xml:space="preserve">Default on Ubuntu/Debian/Fedora gcc</t>
  </si>
  <si>
    <t xml:space="preserve">RELRO (Partial / Full)</t>
  </si>
  <si>
    <t xml:space="preserve">Linker + loader</t>
  </si>
  <si>
    <t xml:space="preserve">GOT / .init_array overwrite</t>
  </si>
  <si>
    <t xml:space="preserve">Full RELRO = -z relro -z now: all relocations resolved at load, GOT remapped read-only</t>
  </si>
  <si>
    <t xml:space="preserve">Partial default; Full on hardened distros</t>
  </si>
  <si>
    <t xml:space="preserve">Startup cost</t>
  </si>
  <si>
    <t xml:space="preserve">FORTIFY_SOURCE</t>
  </si>
  <si>
    <t xml:space="preserve">Compiler + glibc</t>
  </si>
  <si>
    <t xml:space="preserve">Overflows in memcpy/strcpy/sprintf/read etc. with compile-time-known buffer size</t>
  </si>
  <si>
    <t xml:space="preserve">Replaces libc calls with *_chk variants that check destination size</t>
  </si>
  <si>
    <t xml:space="preserve">Default level 2 on Ubuntu/Fedora when -O is set; level 3 needs gcc 12+/glibc 2.34+</t>
  </si>
  <si>
    <t xml:space="preserve">Stack clash protection</t>
  </si>
  <si>
    <t xml:space="preserve">Compiler</t>
  </si>
  <si>
    <t xml:space="preserve">Large/variable stack allocation jumping over guard page into other memory</t>
  </si>
  <si>
    <t xml:space="preserve">Probes each page as stack is extended</t>
  </si>
  <si>
    <t xml:space="preserve">Default on Ubuntu/Fedora</t>
  </si>
  <si>
    <t xml:space="preserve">Shadow stack (Intel CET SHSTK)</t>
  </si>
  <si>
    <t xml:space="preserve">CPU + kernel + glibc</t>
  </si>
  <si>
    <t xml:space="preserve">ROP / return address corruption</t>
  </si>
  <si>
    <t xml:space="preserve">Hardware-protected second stack holding only return addresses; compared on RET</t>
  </si>
  <si>
    <t xml:space="preserve">Linux user-space support: kernel 6.6+, glibc 2.39+, opt-in</t>
  </si>
  <si>
    <t xml:space="preserve">Indirect Branch Tracking (CET IBT)</t>
  </si>
  <si>
    <t xml:space="preserve">CPU + compiler</t>
  </si>
  <si>
    <t xml:space="preserve">JOP / COP (forward-edge hijack)</t>
  </si>
  <si>
    <t xml:space="preserve">Indirect jump/call must land on ENDBR64</t>
  </si>
  <si>
    <t xml:space="preserve">-fcf-protection=full; default on Ubuntu</t>
  </si>
  <si>
    <t xml:space="preserve">ARM PAC (pointer auth)</t>
  </si>
  <si>
    <t xml:space="preserve">ARMv8.3+ CPU + compiler</t>
  </si>
  <si>
    <t xml:space="preserve">Return address overwrite</t>
  </si>
  <si>
    <t xml:space="preserve">Return address signed with key + SP context on entry; authenticated on return</t>
  </si>
  <si>
    <t xml:space="preserve">-mbranch-protection=pac-ret</t>
  </si>
  <si>
    <t xml:space="preserve">ARM BTI</t>
  </si>
  <si>
    <t xml:space="preserve">ARMv8.5+ CPU + compiler</t>
  </si>
  <si>
    <t xml:space="preserve">JOP / COP</t>
  </si>
  <si>
    <t xml:space="preserve">Indirect branch targets must start with BTI instruction</t>
  </si>
  <si>
    <t xml:space="preserve">-mbranch-protection=bti</t>
  </si>
  <si>
    <t xml:space="preserve">ARM MTE (stack tagging)</t>
  </si>
  <si>
    <t xml:space="preserve">Stack buffer overflow / use-after-return</t>
  </si>
  <si>
    <t xml:space="preserve">4-bit tags on memory and pointers; mismatch faults</t>
  </si>
  <si>
    <t xml:space="preserve">-fsanitize=memtag-stack (clang)</t>
  </si>
  <si>
    <t xml:space="preserve">Low-medium</t>
  </si>
  <si>
    <t xml:space="preserve">SafeStack (clang)</t>
  </si>
  <si>
    <t xml:space="preserve">Compiler + runtime</t>
  </si>
  <si>
    <t xml:space="preserve">Stack overflow corrupting return address</t>
  </si>
  <si>
    <t xml:space="preserve">Splits stack: unsafe buffers go to separate unsafe stack, return addresses stay on safe stack</t>
  </si>
  <si>
    <t xml:space="preserve">-fsanitize=safe-stack</t>
  </si>
  <si>
    <t xml:space="preserve">~0.1%</t>
  </si>
  <si>
    <t xml:space="preserve">ShadowCallStack (clang)</t>
  </si>
  <si>
    <t xml:space="preserve">Software shadow stack of return addresses (AArch64 x18, RISC-V)</t>
  </si>
  <si>
    <t xml:space="preserve">-fsanitize=shadow-call-stack</t>
  </si>
  <si>
    <t xml:space="preserve">Clang CFI</t>
  </si>
  <si>
    <t xml:space="preserve">Compiler (LTO)</t>
  </si>
  <si>
    <t xml:space="preserve">Control-flow hijack via corrupted function pointers / vtables</t>
  </si>
  <si>
    <t xml:space="preserve">Checks indirect call target type matches</t>
  </si>
  <si>
    <t xml:space="preserve">-fsanitize=cfi -flto -fvisibility=hidden</t>
  </si>
  <si>
    <t xml:space="preserve">Auto var init</t>
  </si>
  <si>
    <t xml:space="preserve">Uninitialized stack variable info leak / use</t>
  </si>
  <si>
    <t xml:space="preserve">Zero or pattern-fill automatic variables</t>
  </si>
  <si>
    <t xml:space="preserve">-ftrivial-auto-var-init=zero</t>
  </si>
  <si>
    <t xml:space="preserve">Guard pages / stack guard gap</t>
  </si>
  <si>
    <t xml:space="preserve">Stack growing into adjacent mapping</t>
  </si>
  <si>
    <t xml:space="preserve">Unmapped gap below stack (stack_guard_gap, default 256 pages)</t>
  </si>
  <si>
    <t xml:space="preserve">On by default</t>
  </si>
  <si>
    <t xml:space="preserve">Randomized kernel stack offset</t>
  </si>
  <si>
    <t xml:space="preserve">Kernel stack layout prediction, stack-spray, uninitialized-stack leaks</t>
  </si>
  <si>
    <t xml:space="preserve">Random alloca padding on every syscall entry so kernel stack pointer differs per call</t>
  </si>
  <si>
    <t xml:space="preserve">CONFIG_RANDOMIZE_KSTACK_OFFSET; boot randomize_kstack_offset=on</t>
  </si>
  <si>
    <t xml:space="preserve">Very low</t>
  </si>
  <si>
    <t xml:space="preserve">VMAP_STACK (guarded kernel stack)</t>
  </si>
  <si>
    <t xml:space="preserve">Kernel + MMU</t>
  </si>
  <si>
    <t xml:space="preserve">Kernel stack overflow silently corrupting adjacent memory</t>
  </si>
  <si>
    <t xml:space="preserve">Kernel stacks allocated in vmalloc area with unmapped guard page; overflow faults and oopses instead</t>
  </si>
  <si>
    <t xml:space="preserve">CONFIG_VMAP_STACK; default on x86-64 and arm64</t>
  </si>
  <si>
    <t xml:space="preserve">ASan stack instrumentation</t>
  </si>
  <si>
    <t xml:space="preserve">Stack buffer overflow, use-after-return (debug)</t>
  </si>
  <si>
    <t xml:space="preserve">Redzones around stack variables with shadow memory</t>
  </si>
  <si>
    <t xml:space="preserve">-fsanitize=address (testing only)</t>
  </si>
  <si>
    <t xml:space="preserve">~2x</t>
  </si>
  <si>
    <t xml:space="preserve">Total protections listed</t>
  </si>
  <si>
    <t xml:space="preserve">x86-64 Stack Frame Layout (high to low)</t>
  </si>
  <si>
    <t xml:space="preserve">Direction</t>
  </si>
  <si>
    <t xml:space="preserve">Region</t>
  </si>
  <si>
    <t xml:space="preserve">Security relevance</t>
  </si>
  <si>
    <t xml:space="preserve">Higher addresses</t>
  </si>
  <si>
    <t xml:space="preserve">Environment strings, argv strings, auxv</t>
  </si>
  <si>
    <t xml:space="preserve">Top of stack region; randomized by ASLR</t>
  </si>
  <si>
    <t xml:space="preserve">argc / argv / envp pointers</t>
  </si>
  <si>
    <t xml:space="preserve">Set up by kernel at exec</t>
  </si>
  <si>
    <t xml:space="preserve">Caller's frame</t>
  </si>
  <si>
    <t xml:space="preserve">Caller locals, spilled registers</t>
  </si>
  <si>
    <t xml:space="preserve">Function arguments (stack-passed)</t>
  </si>
  <si>
    <t xml:space="preserve">x86-64 SysV: args 7+ on stack; x86-32 cdecl: all</t>
  </si>
  <si>
    <t xml:space="preserve">Return address</t>
  </si>
  <si>
    <t xml:space="preserve">Target of attack: overwritten to hijack control flow</t>
  </si>
  <si>
    <t xml:space="preserve">Saved frame pointer (RBP)</t>
  </si>
  <si>
    <t xml:space="preserve">Overwritten in stack pivot / off-by-one attacks</t>
  </si>
  <si>
    <t xml:space="preserve">Stack canary</t>
  </si>
  <si>
    <t xml:space="preserve">Sits just below saved RBP; first byte usually 0x00 (stops string-copy leaks)</t>
  </si>
  <si>
    <t xml:space="preserve">Local arrays / buffers</t>
  </si>
  <si>
    <t xml:space="preserve">gcc places char arrays closest to canary (higher) so overflow hits canary first</t>
  </si>
  <si>
    <t xml:space="preserve">Other locals / spills</t>
  </si>
  <si>
    <t xml:space="preserve">Reordered below buffers by SSP so scalars and pointers are not corrupted</t>
  </si>
  <si>
    <t xml:space="preserve">Lower addresses</t>
  </si>
  <si>
    <t xml:space="preserve">Stack top (RSP) / red zone (128 B, x86-64 leaf funcs)</t>
  </si>
  <si>
    <t xml:space="preserve">Stack grows downward; guard gap below</t>
  </si>
  <si>
    <t xml:space="preserve">Compiler and Linker Flags</t>
  </si>
  <si>
    <t xml:space="preserve">Flag</t>
  </si>
  <si>
    <t xml:space="preserve">Toolchain</t>
  </si>
  <si>
    <t xml:space="preserve">Effect</t>
  </si>
  <si>
    <t xml:space="preserve">Notes</t>
  </si>
  <si>
    <t xml:space="preserve">-fstack-protector</t>
  </si>
  <si>
    <t xml:space="preserve">gcc/clang</t>
  </si>
  <si>
    <t xml:space="preserve">Canary for functions with char arrays &gt;= ssp-buffer-size (8)</t>
  </si>
  <si>
    <t xml:space="preserve">Weakest canary mode</t>
  </si>
  <si>
    <t xml:space="preserve">-fstack-protector-strong</t>
  </si>
  <si>
    <t xml:space="preserve">Canary for arrays, local address-taken variables, alloca</t>
  </si>
  <si>
    <t xml:space="preserve">Recommended; distro default</t>
  </si>
  <si>
    <t xml:space="preserve">-fstack-protector-all</t>
  </si>
  <si>
    <t xml:space="preserve">Canary in every function</t>
  </si>
  <si>
    <t xml:space="preserve">Highest coverage, more overhead</t>
  </si>
  <si>
    <t xml:space="preserve">-fstack-protector-explicit</t>
  </si>
  <si>
    <t xml:space="preserve">gcc</t>
  </si>
  <si>
    <t xml:space="preserve">Only functions with stack_protect attribute</t>
  </si>
  <si>
    <t xml:space="preserve">Selective</t>
  </si>
  <si>
    <t xml:space="preserve">-fno-stack-protector</t>
  </si>
  <si>
    <t xml:space="preserve">Disable canary</t>
  </si>
  <si>
    <t xml:space="preserve">CTF / lab only</t>
  </si>
  <si>
    <t xml:space="preserve">-fPIE -pie</t>
  </si>
  <si>
    <t xml:space="preserve">Position-independent executable</t>
  </si>
  <si>
    <t xml:space="preserve">Needed for full ASLR; -no-pie disables</t>
  </si>
  <si>
    <t xml:space="preserve">-Wl,-z,relro</t>
  </si>
  <si>
    <t xml:space="preserve">ld/lld</t>
  </si>
  <si>
    <t xml:space="preserve">Partial RELRO</t>
  </si>
  <si>
    <t xml:space="preserve">-Wl,-z,relro,-z,now</t>
  </si>
  <si>
    <t xml:space="preserve">Full RELRO (BIND_NOW)</t>
  </si>
  <si>
    <t xml:space="preserve">Pair with -fno-plt optionally</t>
  </si>
  <si>
    <t xml:space="preserve">-Wl,-z,noexecstack</t>
  </si>
  <si>
    <t xml:space="preserve">Mark stack non-executable (PT_GNU_STACK RW)</t>
  </si>
  <si>
    <t xml:space="preserve">-z execstack disables NX on stack</t>
  </si>
  <si>
    <t xml:space="preserve">-Wl,-z,separate-code</t>
  </si>
  <si>
    <t xml:space="preserve">ld</t>
  </si>
  <si>
    <t xml:space="preserve">Separate code and data segments</t>
  </si>
  <si>
    <t xml:space="preserve">Reduces gadget-containing writable/readable overlap</t>
  </si>
  <si>
    <t xml:space="preserve">-D_FORTIFY_SOURCE=2 (or 3)</t>
  </si>
  <si>
    <t xml:space="preserve">gcc/clang + glibc</t>
  </si>
  <si>
    <t xml:space="preserve">Checked libc wrappers</t>
  </si>
  <si>
    <t xml:space="preserve">Requires -O1 or higher; 3 needs gcc 12+/glibc 2.34+</t>
  </si>
  <si>
    <t xml:space="preserve">-fstack-clash-protection</t>
  </si>
  <si>
    <t xml:space="preserve">Probe stack allocations page by page</t>
  </si>
  <si>
    <t xml:space="preserve">-fcf-protection=full</t>
  </si>
  <si>
    <t xml:space="preserve">gcc/clang x86</t>
  </si>
  <si>
    <t xml:space="preserve">Emit ENDBR64 (IBT) and shadow-stack-compatible code</t>
  </si>
  <si>
    <t xml:space="preserve">branch/return/none also accepted</t>
  </si>
  <si>
    <t xml:space="preserve">-Wl,-z,shstk</t>
  </si>
  <si>
    <t xml:space="preserve">Mark binary shadow-stack compatible</t>
  </si>
  <si>
    <t xml:space="preserve">Also -Wl,-z,cet-report=error to enforce</t>
  </si>
  <si>
    <t xml:space="preserve">-mbranch-protection=standard</t>
  </si>
  <si>
    <t xml:space="preserve">gcc/clang AArch64</t>
  </si>
  <si>
    <t xml:space="preserve">PAC return addresses + BTI</t>
  </si>
  <si>
    <t xml:space="preserve">pac-ret or bti individually</t>
  </si>
  <si>
    <t xml:space="preserve">clang</t>
  </si>
  <si>
    <t xml:space="preserve">Separate unsafe stack</t>
  </si>
  <si>
    <t xml:space="preserve">Not compatible with all runtimes</t>
  </si>
  <si>
    <t xml:space="preserve">clang AArch64/RISC-V</t>
  </si>
  <si>
    <t xml:space="preserve">Software shadow call stack</t>
  </si>
  <si>
    <t xml:space="preserve">Needs reserved register</t>
  </si>
  <si>
    <t xml:space="preserve">Forward-edge CFI</t>
  </si>
  <si>
    <t xml:space="preserve">Needs LTO</t>
  </si>
  <si>
    <t xml:space="preserve">-fsanitize=memtag-stack</t>
  </si>
  <si>
    <t xml:space="preserve">clang AArch64</t>
  </si>
  <si>
    <t xml:space="preserve">MTE stack tagging</t>
  </si>
  <si>
    <t xml:space="preserve">Needs ARMv8.5 MTE hardware</t>
  </si>
  <si>
    <t xml:space="preserve">gcc 12+/clang</t>
  </si>
  <si>
    <t xml:space="preserve">Zero-init automatic variables</t>
  </si>
  <si>
    <t xml:space="preserve">Pattern mode for debugging</t>
  </si>
  <si>
    <t xml:space="preserve">-fzero-call-used-regs=used-gpr</t>
  </si>
  <si>
    <t xml:space="preserve">gcc 11+</t>
  </si>
  <si>
    <t xml:space="preserve">Clear call-used registers on return</t>
  </si>
  <si>
    <t xml:space="preserve">Shrinks ROP gadget usefulness</t>
  </si>
  <si>
    <t xml:space="preserve">-Wformat -Wformat-security -Werror=format-security</t>
  </si>
  <si>
    <t xml:space="preserve">Warn on unsafe printf-style calls</t>
  </si>
  <si>
    <t xml:space="preserve">Format string vulns</t>
  </si>
  <si>
    <t xml:space="preserve">-Wstack-protector -Wstack-usage=N</t>
  </si>
  <si>
    <t xml:space="preserve">Warn on unprotected functions / large frames</t>
  </si>
  <si>
    <t xml:space="preserve">-fsanitize=address</t>
  </si>
  <si>
    <t xml:space="preserve">ASan with stack redzones</t>
  </si>
  <si>
    <t xml:space="preserve">Testing only</t>
  </si>
  <si>
    <t xml:space="preserve">How to Verify Protections (Linux)</t>
  </si>
  <si>
    <t xml:space="preserve">Command</t>
  </si>
  <si>
    <t xml:space="preserve">What to look for</t>
  </si>
  <si>
    <t xml:space="preserve">checksec --file=./bin</t>
  </si>
  <si>
    <t xml:space="preserve">Summary: Canary / NX / PIE / RELRO / FORTIFY / SHSTK / IBT</t>
  </si>
  <si>
    <t xml:space="preserve">Quick first check</t>
  </si>
  <si>
    <t xml:space="preserve">readelf -lW ./bin | grep GNU_STACK</t>
  </si>
  <si>
    <t xml:space="preserve">RW = NX stack ok; RWE = executable stack (bad)</t>
  </si>
  <si>
    <t xml:space="preserve">NX</t>
  </si>
  <si>
    <t xml:space="preserve">readelf -s ./bin | grep __stack_chk_fail</t>
  </si>
  <si>
    <t xml:space="preserve">Present = canary compiled in</t>
  </si>
  <si>
    <t xml:space="preserve">Canary</t>
  </si>
  <si>
    <t xml:space="preserve">readelf -h ./bin | grep Type</t>
  </si>
  <si>
    <t xml:space="preserve">DYN = PIE; EXEC = non-PIE</t>
  </si>
  <si>
    <t xml:space="preserve">readelf -lW ./bin | grep RELRO</t>
  </si>
  <si>
    <t xml:space="preserve">GNU_RELRO present = at least partial</t>
  </si>
  <si>
    <t xml:space="preserve">RELRO</t>
  </si>
  <si>
    <t xml:space="preserve">readelf -d ./bin | grep -E 'BIND_NOW|FLAGS'</t>
  </si>
  <si>
    <t xml:space="preserve">BIND_NOW + RELRO = Full RELRO</t>
  </si>
  <si>
    <t xml:space="preserve">nm -D ./bin | grep _chk</t>
  </si>
  <si>
    <t xml:space="preserve">__memcpy_chk, __strcpy_chk etc. = FORTIFY active</t>
  </si>
  <si>
    <t xml:space="preserve">FORTIFY</t>
  </si>
  <si>
    <t xml:space="preserve">readelf -n ./bin | grep -E 'SHSTK|IBT'</t>
  </si>
  <si>
    <t xml:space="preserve">x86 ISA property note shows CET marking</t>
  </si>
  <si>
    <t xml:space="preserve">CET</t>
  </si>
  <si>
    <t xml:space="preserve">objdump -d ./bin | grep -c endbr64</t>
  </si>
  <si>
    <t xml:space="preserve">Count &gt; 0 = IBT landing pads emitted</t>
  </si>
  <si>
    <t xml:space="preserve">IBT</t>
  </si>
  <si>
    <t xml:space="preserve">grep -o -E 'shstk|ibt' /proc/cpuinfo | sort -u</t>
  </si>
  <si>
    <t xml:space="preserve">CPU supports CET features</t>
  </si>
  <si>
    <t xml:space="preserve">cat /proc/sys/kernel/randomize_va_space</t>
  </si>
  <si>
    <t xml:space="preserve">0 off, 1 stack/mmap/vdso, 2 full incl. heap</t>
  </si>
  <si>
    <t xml:space="preserve">for i in 1 2 3; do ldd ./bin | grep libc; done</t>
  </si>
  <si>
    <t xml:space="preserve">libc base changes every run = ASLR working</t>
  </si>
  <si>
    <t xml:space="preserve">cat /proc/self/maps | grep stack</t>
  </si>
  <si>
    <t xml:space="preserve">Stack address differs between runs</t>
  </si>
  <si>
    <t xml:space="preserve">ulimit -s</t>
  </si>
  <si>
    <t xml:space="preserve">Stack size limit in KB (default 8192)</t>
  </si>
  <si>
    <t xml:space="preserve">Limits</t>
  </si>
  <si>
    <t xml:space="preserve">hardening-check ./bin</t>
  </si>
  <si>
    <t xml:space="preserve">Debian hardening-includes report</t>
  </si>
  <si>
    <t xml:space="preserve">All</t>
  </si>
  <si>
    <t xml:space="preserve">gdb ./bin -ex 'checksec'</t>
  </si>
  <si>
    <t xml:space="preserve">pwndbg / gef built-in checksec</t>
  </si>
  <si>
    <t xml:space="preserve">setarch $(uname -m) -R ./bin</t>
  </si>
  <si>
    <t xml:space="preserve">Run with ASLR disabled for debugging</t>
  </si>
  <si>
    <t xml:space="preserve">Debug</t>
  </si>
  <si>
    <t xml:space="preserve">zgrep -E 'STACKPROTECTOR|VMAP_STACK|STACKLEAK|SHADOW_CALL' /proc/config.gz</t>
  </si>
  <si>
    <t xml:space="preserve">Kernel build config</t>
  </si>
  <si>
    <t xml:space="preserve">Attack Techniques vs Mitigations (defensive reference)</t>
  </si>
  <si>
    <t xml:space="preserve">Attack</t>
  </si>
  <si>
    <t xml:space="preserve">Mitigated by</t>
  </si>
  <si>
    <t xml:space="preserve">Known bypass path</t>
  </si>
  <si>
    <t xml:space="preserve">Stack smashing + shellcode</t>
  </si>
  <si>
    <t xml:space="preserve">NX, canary</t>
  </si>
  <si>
    <t xml:space="preserve">Mapped RWX region, mprotect/ROP to make executable</t>
  </si>
  <si>
    <t xml:space="preserve">Classic Aleph One technique</t>
  </si>
  <si>
    <t xml:space="preserve">ret2libc</t>
  </si>
  <si>
    <t xml:space="preserve">ASLR, PIE, canary</t>
  </si>
  <si>
    <t xml:space="preserve">Info leak to find libc base</t>
  </si>
  <si>
    <t xml:space="preserve">Reuses libc functions like system()</t>
  </si>
  <si>
    <t xml:space="preserve">ROP (return-oriented programming)</t>
  </si>
  <si>
    <t xml:space="preserve">ASLR, PIE, canary, shadow stack, PAC</t>
  </si>
  <si>
    <t xml:space="preserve">Leak addresses; shadow-stack-unaware gadget paths; PAC forgery/gadgets</t>
  </si>
  <si>
    <t xml:space="preserve">Chains gadgets ending in ret</t>
  </si>
  <si>
    <t xml:space="preserve">IBT, BTI, CFI</t>
  </si>
  <si>
    <t xml:space="preserve">Gadgets starting at valid landing pads</t>
  </si>
  <si>
    <t xml:space="preserve">Indirect-branch based</t>
  </si>
  <si>
    <t xml:space="preserve">Canary leak</t>
  </si>
  <si>
    <t xml:space="preserve">Format string / out-of-bounds read to disclose canary</t>
  </si>
  <si>
    <t xml:space="preserve">Then overwrite with correct value</t>
  </si>
  <si>
    <t xml:space="preserve">Canary brute force</t>
  </si>
  <si>
    <t xml:space="preserve">Canary, ASLR</t>
  </si>
  <si>
    <t xml:space="preserve">Fork-without-exec servers keep same canary; brute byte by byte</t>
  </si>
  <si>
    <t xml:space="preserve">Mitigate: re-exec per connection</t>
  </si>
  <si>
    <t xml:space="preserve">Partial pointer overwrite</t>
  </si>
  <si>
    <t xml:space="preserve">ASLR, PIE</t>
  </si>
  <si>
    <t xml:space="preserve">Overwrite low bytes only; 4-bit brute force</t>
  </si>
  <si>
    <t xml:space="preserve">Needs controlled overflow</t>
  </si>
  <si>
    <t xml:space="preserve">GOT overwrite</t>
  </si>
  <si>
    <t xml:space="preserve">Full RELRO</t>
  </si>
  <si>
    <t xml:space="preserve">Target __malloc_hook-style / other writable pointers, .fini_array if not RELRO</t>
  </si>
  <si>
    <t xml:space="preserve">Fewer hooks in modern glibc (hooks removed 2.34)</t>
  </si>
  <si>
    <t xml:space="preserve">Format string write</t>
  </si>
  <si>
    <t xml:space="preserve">Format warnings, FORTIFY (%n), RELRO</t>
  </si>
  <si>
    <t xml:space="preserve">Write to return address / saved RBP</t>
  </si>
  <si>
    <t xml:space="preserve">Use -Werror=format-security</t>
  </si>
  <si>
    <t xml:space="preserve">Stack pivot</t>
  </si>
  <si>
    <t xml:space="preserve">Shadow stack, CFI</t>
  </si>
  <si>
    <t xml:space="preserve">xchg/leave;ret gadgets</t>
  </si>
  <si>
    <t xml:space="preserve">Moves RSP to attacker data</t>
  </si>
  <si>
    <t xml:space="preserve">SROP (sigreturn-oriented)</t>
  </si>
  <si>
    <t xml:space="preserve">Shadow stack</t>
  </si>
  <si>
    <t xml:space="preserve">Forge sigreturn frame</t>
  </si>
  <si>
    <t xml:space="preserve">Needs syscall gadget</t>
  </si>
  <si>
    <t xml:space="preserve">ret2csu / ret2dlresolve</t>
  </si>
  <si>
    <t xml:space="preserve">Full RELRO, PIE</t>
  </si>
  <si>
    <t xml:space="preserve">Leak to locate gadgets</t>
  </si>
  <si>
    <t xml:space="preserve">Universal gadgets in older binaries</t>
  </si>
  <si>
    <t xml:space="preserve">Stack clash</t>
  </si>
  <si>
    <t xml:space="preserve">Stack clash protection, guard gap</t>
  </si>
  <si>
    <t xml:space="preserve">Large alloca/VLA with attacker size</t>
  </si>
  <si>
    <t xml:space="preserve">Reduce stack_guard_gap tricks</t>
  </si>
  <si>
    <t xml:space="preserve">Uninitialized stack read</t>
  </si>
  <si>
    <t xml:space="preserve">Reuse of stale stack data</t>
  </si>
  <si>
    <t xml:space="preserve">Info leak source for ASLR bypass</t>
  </si>
  <si>
    <t xml:space="preserve">Use-after-return</t>
  </si>
  <si>
    <t xml:space="preserve">ASan, MTE, SafeStack</t>
  </si>
  <si>
    <t xml:space="preserve">Dangling pointer to dead frame</t>
  </si>
  <si>
    <t xml:space="preserve">Hard to detect without instrumentation</t>
  </si>
  <si>
    <t xml:space="preserve">Off-by-one saved RBP overwrite</t>
  </si>
  <si>
    <t xml:space="preserve">Canary (sits above), frame hardening</t>
  </si>
  <si>
    <t xml:space="preserve">Null-byte clobber of saved RBP then leave;ret</t>
  </si>
  <si>
    <t xml:space="preserve">Pivot into attacker buffer</t>
  </si>
  <si>
    <t xml:space="preserve">Kernel / OS Controls (Linux)</t>
  </si>
  <si>
    <t xml:space="preserve">Setting</t>
  </si>
  <si>
    <t xml:space="preserve">Type</t>
  </si>
  <si>
    <t xml:space="preserve">kernel.randomize_va_space</t>
  </si>
  <si>
    <t xml:space="preserve">sysctl</t>
  </si>
  <si>
    <t xml:space="preserve">0 off / 1 partial / 2 full ASLR</t>
  </si>
  <si>
    <t xml:space="preserve">Keep at 2</t>
  </si>
  <si>
    <t xml:space="preserve">stack_guard_gap</t>
  </si>
  <si>
    <t xml:space="preserve">boot param</t>
  </si>
  <si>
    <t xml:space="preserve">Pages of unmapped gap below stack (default 256)</t>
  </si>
  <si>
    <t xml:space="preserve">Do not lower</t>
  </si>
  <si>
    <t xml:space="preserve">CONFIG_STACKPROTECTOR_STRONG</t>
  </si>
  <si>
    <t xml:space="preserve">kernel config</t>
  </si>
  <si>
    <t xml:space="preserve">Canary in kernel functions</t>
  </si>
  <si>
    <t xml:space="preserve">CONFIG_VMAP_STACK</t>
  </si>
  <si>
    <t xml:space="preserve">Kernel stacks in vmalloc with guard pages</t>
  </si>
  <si>
    <t xml:space="preserve">Stops kernel stack overflow into neighbors</t>
  </si>
  <si>
    <t xml:space="preserve">CONFIG_RANDOMIZE_KSTACK_OFFSET</t>
  </si>
  <si>
    <t xml:space="preserve">Randomize kernel stack offset per syscall</t>
  </si>
  <si>
    <t xml:space="preserve">Boot: randomize_kstack_offset=on</t>
  </si>
  <si>
    <t xml:space="preserve">CONFIG_GCC_PLUGIN_STACKLEAK</t>
  </si>
  <si>
    <t xml:space="preserve">Erase kernel stack on syscall exit</t>
  </si>
  <si>
    <t xml:space="preserve">sysctl kernel.stack_erasing</t>
  </si>
  <si>
    <t xml:space="preserve">CONFIG_INIT_STACK_ALL_ZERO</t>
  </si>
  <si>
    <t xml:space="preserve">Zero-init kernel stack variables</t>
  </si>
  <si>
    <t xml:space="preserve">CONFIG_SHADOW_CALL_STACK</t>
  </si>
  <si>
    <t xml:space="preserve">arm64 kernel shadow call stack</t>
  </si>
  <si>
    <t xml:space="preserve">Needs clang</t>
  </si>
  <si>
    <t xml:space="preserve">CONFIG_CFI_CLANG</t>
  </si>
  <si>
    <t xml:space="preserve">Kernel forward-edge CFI</t>
  </si>
  <si>
    <t xml:space="preserve">CONFIG_RANDOMIZE_BASE (KASLR)</t>
  </si>
  <si>
    <t xml:space="preserve">Randomize kernel base</t>
  </si>
  <si>
    <t xml:space="preserve">Boot: nokaslr disables</t>
  </si>
  <si>
    <t xml:space="preserve">CONFIG_X86_USER_SHADOW_STACK</t>
  </si>
  <si>
    <t xml:space="preserve">User-space CET shadow stack</t>
  </si>
  <si>
    <t xml:space="preserve">Kernel 6.6+</t>
  </si>
  <si>
    <t xml:space="preserve">GLIBC_TUNABLES=glibc.cpu.x86_shstk=on</t>
  </si>
  <si>
    <t xml:space="preserve">env var</t>
  </si>
  <si>
    <t xml:space="preserve">Opt-in user shadow stack in glibc</t>
  </si>
  <si>
    <t xml:space="preserve">glibc 2.39+</t>
  </si>
  <si>
    <t xml:space="preserve">setarch -R / personality ADDR_NO_RANDOMIZE</t>
  </si>
  <si>
    <t xml:space="preserve">runtime</t>
  </si>
  <si>
    <t xml:space="preserve">Disable ASLR per process</t>
  </si>
  <si>
    <t xml:space="preserve">Debug only</t>
  </si>
  <si>
    <t xml:space="preserve">Windows Stack Protections</t>
  </si>
  <si>
    <t xml:space="preserve">Mitigation</t>
  </si>
  <si>
    <t xml:space="preserve">/GS</t>
  </si>
  <si>
    <t xml:space="preserve">MSVC compiler</t>
  </si>
  <si>
    <t xml:space="preserve">Stack cookie (security cookie) checked before return</t>
  </si>
  <si>
    <t xml:space="preserve">/DYNAMICBASE</t>
  </si>
  <si>
    <t xml:space="preserve">MSVC linker</t>
  </si>
  <si>
    <t xml:space="preserve">ASLR for image</t>
  </si>
  <si>
    <t xml:space="preserve">/HIGHENTROPYVA</t>
  </si>
  <si>
    <t xml:space="preserve">64-bit high-entropy ASLR</t>
  </si>
  <si>
    <t xml:space="preserve">x64 default</t>
  </si>
  <si>
    <t xml:space="preserve">/NXCOMPAT</t>
  </si>
  <si>
    <t xml:space="preserve">DEP compatible</t>
  </si>
  <si>
    <t xml:space="preserve">/guard:cf</t>
  </si>
  <si>
    <t xml:space="preserve">MSVC</t>
  </si>
  <si>
    <t xml:space="preserve">Control Flow Guard for indirect calls</t>
  </si>
  <si>
    <t xml:space="preserve">/guard:ehcont</t>
  </si>
  <si>
    <t xml:space="preserve">EH continuation metadata, protects against SEH abuse</t>
  </si>
  <si>
    <t xml:space="preserve">/CETCOMPAT</t>
  </si>
  <si>
    <t xml:space="preserve">Hardware-enforced Stack Protection (shadow stack) compatible</t>
  </si>
  <si>
    <t xml:space="preserve">Windows 10 2004+ with CET CPU</t>
  </si>
  <si>
    <t xml:space="preserve">/SAFESEH</t>
  </si>
  <si>
    <t xml:space="preserve">MSVC linker x86</t>
  </si>
  <si>
    <t xml:space="preserve">Registered SEH handlers only</t>
  </si>
  <si>
    <t xml:space="preserve">x86 only</t>
  </si>
  <si>
    <t xml:space="preserve">SEHOP</t>
  </si>
  <si>
    <t xml:space="preserve">OS</t>
  </si>
  <si>
    <t xml:space="preserve">Validates SEH chain integrity</t>
  </si>
  <si>
    <t xml:space="preserve">System-level</t>
  </si>
  <si>
    <t xml:space="preserve">/sdl</t>
  </si>
  <si>
    <t xml:space="preserve">Extra SDL checks, treats some warnings as errors</t>
  </si>
  <si>
    <t xml:space="preserve">Arbitrary Code Guard (ACG)</t>
  </si>
  <si>
    <t xml:space="preserve">Process mitigation</t>
  </si>
  <si>
    <t xml:space="preserve">Block dynamic code / RWX allocations</t>
  </si>
  <si>
    <t xml:space="preserve">Helps stop shellcode</t>
  </si>
  <si>
    <t xml:space="preserve">/Qspectre</t>
  </si>
  <si>
    <t xml:space="preserve">Spectre variant 1 mitigation</t>
  </si>
  <si>
    <t xml:space="preserve">Speculative execution, not stack smash</t>
  </si>
  <si>
    <t xml:space="preserve">Kernel Stack Defenses - stack_guard_gap, kstack offset, VMAP_STACK</t>
  </si>
  <si>
    <t xml:space="preserve">Feature</t>
  </si>
  <si>
    <t xml:space="preserve">Config / parameter</t>
  </si>
  <si>
    <t xml:space="preserve">Since</t>
  </si>
  <si>
    <t xml:space="preserve">Threat</t>
  </si>
  <si>
    <t xml:space="preserve">Mechanism</t>
  </si>
  <si>
    <t xml:space="preserve">Default</t>
  </si>
  <si>
    <t xml:space="preserve">Verify</t>
  </si>
  <si>
    <t xml:space="preserve">Trade-offs</t>
  </si>
  <si>
    <t xml:space="preserve">Boot param stack_guard_gap=&lt;pages&gt;</t>
  </si>
  <si>
    <t xml:space="preserve">4.12 (Stack Clash fix, CVE-2017-1000364; backported)</t>
  </si>
  <si>
    <t xml:space="preserve">Stack growing into adjacent mapping (Stack Clash)</t>
  </si>
  <si>
    <t xml:space="preserve">No other mapping can be placed within the gap below the VM_GROWSDOWN stack VMA; stack expansion into the gap fails. Gap is counted in pages.</t>
  </si>
  <si>
    <t xml:space="preserve">256 pages (1 MiB with 4 KiB pages)</t>
  </si>
  <si>
    <t xml:space="preserve">cat /proc/cmdline; dmesg | grep -i stack_guard_gap</t>
  </si>
  <si>
    <t xml:space="preserve">Does not stop frames larger than the gap jumping over it; pair with -fstack-clash-protection probes. Never lower it.</t>
  </si>
  <si>
    <t xml:space="preserve">randomize_kstack_offset (KSTACK offset)</t>
  </si>
  <si>
    <t xml:space="preserve">CONFIG_RANDOMIZE_KSTACK_OFFSET; boot randomize_kstack_offset=on|off; CONFIG_RANDOMIZE_KSTACK_OFFSET_DEFAULT</t>
  </si>
  <si>
    <t xml:space="preserve">5.13 (x86, arm64, s390, powerpc)</t>
  </si>
  <si>
    <t xml:space="preserve">Deterministic kernel stack layout: stack-spray, uninitialized-stack reuse, fixed-offset kernel exploits</t>
  </si>
  <si>
    <t xml:space="preserve">On syscall entry the kernel shifts the stack pointer by a small random alloca amount (16-byte aligned) taken from a per-CPU random value, reseeded on syscall exit.</t>
  </si>
  <si>
    <t xml:space="preserve">Depends on CONFIG_RANDOMIZE_KSTACK_OFFSET_DEFAULT; many distros on</t>
  </si>
  <si>
    <t xml:space="preserve">cat /proc/cmdline; grep RANDOMIZE_KSTACK /boot/config-$(uname -r)</t>
  </si>
  <si>
    <t xml:space="preserve">Tiny per-syscall cost. Does not stop overflow itself; makes offset guessing unreliable.</t>
  </si>
  <si>
    <t xml:space="preserve">VMAP_STACK</t>
  </si>
  <si>
    <t xml:space="preserve">CONFIG_VMAP_STACK=y</t>
  </si>
  <si>
    <t xml:space="preserve">4.9 (x86-64), later arm64 and others</t>
  </si>
  <si>
    <t xml:space="preserve">Kernel stack overflow corrupting adjacent kernel memory</t>
  </si>
  <si>
    <t xml:space="preserve">Kernel thread stacks (16 KiB on x86-64) live in vmalloc space with unmapped guard pages around them; overflow raises a fault handled on a safe stack and kills the task with an oops. thread_info moved off the stack into task_struct.</t>
  </si>
  <si>
    <t xml:space="preserve">On for x86-64 and arm64 distro kernels</t>
  </si>
  <si>
    <t xml:space="preserve">grep CONFIG_VMAP_STACK /boot/config-$(uname -r) or zgrep ... /proc/config.gz</t>
  </si>
  <si>
    <t xml:space="preserve">Stack memory must not be used for DMA; cached stacks cut allocation cost; slight TLB overhead.</t>
  </si>
  <si>
    <t xml:space="preserve">STACKLEAK</t>
  </si>
  <si>
    <t xml:space="preserve">CONFIG_GCC_PLUGIN_STACKLEAK; sysctl kernel.stack_erasing</t>
  </si>
  <si>
    <t xml:space="preserve">4.20 (from PaX)</t>
  </si>
  <si>
    <t xml:space="preserve">Kernel stack information leaks and uninitialized-stack use</t>
  </si>
  <si>
    <t xml:space="preserve">Erases used kernel stack on syscall exit and poisons it; optional runtime toggle.</t>
  </si>
  <si>
    <t xml:space="preserve">Off in most distro kernels</t>
  </si>
  <si>
    <t xml:space="preserve">grep STACKLEAK /boot/config-$(uname -r); sysctl kernel.stack_erasing</t>
  </si>
  <si>
    <t xml:space="preserve">Needs gcc plugin; measurable syscall overhead.</t>
  </si>
  <si>
    <t xml:space="preserve">INIT_STACK_ALL_ZERO</t>
  </si>
  <si>
    <t xml:space="preserve">CONFIG_INIT_STACK_ALL_ZERO=y</t>
  </si>
  <si>
    <t xml:space="preserve">5.9 gcc/clang support</t>
  </si>
  <si>
    <t xml:space="preserve">Uninitialized kernel stack variable leaks</t>
  </si>
  <si>
    <t xml:space="preserve">Compiler zero-initializes automatic variables across the kernel.</t>
  </si>
  <si>
    <t xml:space="preserve">Often on in hardened configs</t>
  </si>
  <si>
    <t xml:space="preserve">grep INIT_STACK /boot/config-$(uname -r)</t>
  </si>
  <si>
    <t xml:space="preserve">Small runtime cost.</t>
  </si>
  <si>
    <t xml:space="preserve">Kernel stack protector</t>
  </si>
  <si>
    <t xml:space="preserve">CONFIG_STACKPROTECTOR_STRONG=y</t>
  </si>
  <si>
    <t xml:space="preserve">Long-standing</t>
  </si>
  <si>
    <t xml:space="preserve">Kernel stack buffer overflow</t>
  </si>
  <si>
    <t xml:space="preserve">Canary per task checked in kernel function epilogues.</t>
  </si>
  <si>
    <t xml:space="preserve">On in distro kernels</t>
  </si>
  <si>
    <t xml:space="preserve">grep STACKPROTECTOR /boot/config-$(uname -r)</t>
  </si>
  <si>
    <t xml:space="preserve">Canary leak defeats it.</t>
  </si>
  <si>
    <t xml:space="preserve">OS-Based Stack and Memory Security</t>
  </si>
  <si>
    <t xml:space="preserve">Controls enforced by operating system software (kernel config, sysctl, loader, policy).</t>
  </si>
  <si>
    <t xml:space="preserve">Control</t>
  </si>
  <si>
    <t xml:space="preserve">Setting / how to enable</t>
  </si>
  <si>
    <t xml:space="preserve">Level</t>
  </si>
  <si>
    <t xml:space="preserve">ASLR (user space)</t>
  </si>
  <si>
    <t xml:space="preserve">Linux</t>
  </si>
  <si>
    <t xml:space="preserve">kernel.randomize_va_space=2; vm.mmap_rnd_bits</t>
  </si>
  <si>
    <t xml:space="preserve">Randomizes stack, mmap, heap, vdso bases</t>
  </si>
  <si>
    <t xml:space="preserve">On (2)</t>
  </si>
  <si>
    <t xml:space="preserve">User</t>
  </si>
  <si>
    <t xml:space="preserve">Non-executable stack mapping</t>
  </si>
  <si>
    <t xml:space="preserve">PT_GNU_STACK flag honored by loader/kernel; -z noexecstack</t>
  </si>
  <si>
    <t xml:space="preserve">Stack pages mapped without exec permission</t>
  </si>
  <si>
    <t xml:space="preserve">On</t>
  </si>
  <si>
    <t xml:space="preserve">RLIMIT_STACK</t>
  </si>
  <si>
    <t xml:space="preserve">ulimit -s; /etc/security/limits.conf</t>
  </si>
  <si>
    <t xml:space="preserve">Caps stack growth size (default 8 MiB)</t>
  </si>
  <si>
    <t xml:space="preserve">8192 KB</t>
  </si>
  <si>
    <t xml:space="preserve">Boot param stack_guard_gap</t>
  </si>
  <si>
    <t xml:space="preserve">Guard gap below user stack</t>
  </si>
  <si>
    <t xml:space="preserve">256 pages</t>
  </si>
  <si>
    <t xml:space="preserve">mmap_min_addr</t>
  </si>
  <si>
    <t xml:space="preserve">vm.mmap_min_addr</t>
  </si>
  <si>
    <t xml:space="preserve">Blocks mapping low addresses; stops NULL-deref exploitation</t>
  </si>
  <si>
    <t xml:space="preserve">65536</t>
  </si>
  <si>
    <t xml:space="preserve">Guarded kernel stacks</t>
  </si>
  <si>
    <t xml:space="preserve">Randomized kstack offset</t>
  </si>
  <si>
    <t xml:space="preserve">randomize_kstack_offset=on</t>
  </si>
  <si>
    <t xml:space="preserve">Per-syscall kernel stack offset randomization</t>
  </si>
  <si>
    <t xml:space="preserve">Config dependent</t>
  </si>
  <si>
    <t xml:space="preserve">Kernel stack erase/poison</t>
  </si>
  <si>
    <t xml:space="preserve">Off</t>
  </si>
  <si>
    <t xml:space="preserve">KASLR</t>
  </si>
  <si>
    <t xml:space="preserve">CONFIG_RANDOMIZE_BASE; nokaslr disables</t>
  </si>
  <si>
    <t xml:space="preserve">Randomizes kernel image base</t>
  </si>
  <si>
    <t xml:space="preserve">kptr_restrict / dmesg_restrict</t>
  </si>
  <si>
    <t xml:space="preserve">kernel.kptr_restrict=2, kernel.dmesg_restrict=1</t>
  </si>
  <si>
    <t xml:space="preserve">Hides kernel pointers and logs that leak addresses</t>
  </si>
  <si>
    <t xml:space="preserve">Varies</t>
  </si>
  <si>
    <t xml:space="preserve">SMEP / SMAP enablement</t>
  </si>
  <si>
    <t xml:space="preserve">Kernel sets CR4.SMEP / CR4.SMAP at boot</t>
  </si>
  <si>
    <t xml:space="preserve">Stops kernel executing/accessing user memory</t>
  </si>
  <si>
    <t xml:space="preserve">On if CPU supports</t>
  </si>
  <si>
    <t xml:space="preserve">KPTI</t>
  </si>
  <si>
    <t xml:space="preserve">CONFIG_PAGE_TABLE_ISOLATION; nopti disables</t>
  </si>
  <si>
    <t xml:space="preserve">Separates kernel/user page tables (Meltdown)</t>
  </si>
  <si>
    <t xml:space="preserve">On for affected CPUs</t>
  </si>
  <si>
    <t xml:space="preserve">ptrace_scope</t>
  </si>
  <si>
    <t xml:space="preserve">kernel.yama.ptrace_scope=1+</t>
  </si>
  <si>
    <t xml:space="preserve">Blocks stack/memory inspection of other processes</t>
  </si>
  <si>
    <t xml:space="preserve">1</t>
  </si>
  <si>
    <t xml:space="preserve">SELinux execstack/execmem controls</t>
  </si>
  <si>
    <t xml:space="preserve">booleans deny_execmem, selinuxuser_execstack</t>
  </si>
  <si>
    <t xml:space="preserve">Denies executable stack and RWX memory per policy</t>
  </si>
  <si>
    <t xml:space="preserve">Policy dependent</t>
  </si>
  <si>
    <t xml:space="preserve">AppArmor / seccomp</t>
  </si>
  <si>
    <t xml:space="preserve">Profiles, seccomp-bpf filters</t>
  </si>
  <si>
    <t xml:space="preserve">Shrinks attack surface after exploit</t>
  </si>
  <si>
    <t xml:space="preserve">noexec mounts</t>
  </si>
  <si>
    <t xml:space="preserve">mount -o noexec</t>
  </si>
  <si>
    <t xml:space="preserve">Blocks running dropped payloads from /tmp etc.</t>
  </si>
  <si>
    <t xml:space="preserve">Admin choice</t>
  </si>
  <si>
    <t xml:space="preserve">PaX / grsecurity RANDUSTACK, UDEREF</t>
  </si>
  <si>
    <t xml:space="preserve">Linux (patch)</t>
  </si>
  <si>
    <t xml:space="preserve">grsecurity patchset</t>
  </si>
  <si>
    <t xml:space="preserve">Extra stack randomization and user/kernel separation</t>
  </si>
  <si>
    <t xml:space="preserve">Patch only</t>
  </si>
  <si>
    <t xml:space="preserve">Both</t>
  </si>
  <si>
    <t xml:space="preserve">DEP</t>
  </si>
  <si>
    <t xml:space="preserve">Windows</t>
  </si>
  <si>
    <t xml:space="preserve">bcdedit /set nx AlwaysOn</t>
  </si>
  <si>
    <t xml:space="preserve">Non-executable stack and heap</t>
  </si>
  <si>
    <t xml:space="preserve">OptIn/OptOut</t>
  </si>
  <si>
    <t xml:space="preserve">ASLR / ForceASLR / HighEntropy</t>
  </si>
  <si>
    <t xml:space="preserve">Exploit Protection settings</t>
  </si>
  <si>
    <t xml:space="preserve">Randomizes images, stacks, heaps</t>
  </si>
  <si>
    <t xml:space="preserve">Exploit Protection</t>
  </si>
  <si>
    <t xml:space="preserve">Validates SEH chain</t>
  </si>
  <si>
    <t xml:space="preserve">Hardware-enforced Stack Protection</t>
  </si>
  <si>
    <t xml:space="preserve">Exploit Protection; /CETCOMPAT binaries</t>
  </si>
  <si>
    <t xml:space="preserve">Uses CET shadow stack for user mode</t>
  </si>
  <si>
    <t xml:space="preserve">Opt-in per process</t>
  </si>
  <si>
    <t xml:space="preserve">HVCI / VBS</t>
  </si>
  <si>
    <t xml:space="preserve">Core Isolation</t>
  </si>
  <si>
    <t xml:space="preserve">Hypervisor-enforced kernel code integrity</t>
  </si>
  <si>
    <t xml:space="preserve">Kernel-mode Hardware-enforced Stack Protection</t>
  </si>
  <si>
    <t xml:space="preserve">Security &gt; Core isolation</t>
  </si>
  <si>
    <t xml:space="preserve">CET shadow stack for kernel mode</t>
  </si>
  <si>
    <t xml:space="preserve">Varies by build/HW</t>
  </si>
  <si>
    <t xml:space="preserve">PAC (arm64e)</t>
  </si>
  <si>
    <t xml:space="preserve">macOS / iOS</t>
  </si>
  <si>
    <t xml:space="preserve">arm64e ABI</t>
  </si>
  <si>
    <t xml:space="preserve">Signed return addresses and pointers</t>
  </si>
  <si>
    <t xml:space="preserve">On system binaries</t>
  </si>
  <si>
    <t xml:space="preserve">Hardened Runtime / W^X</t>
  </si>
  <si>
    <t xml:space="preserve">macOS</t>
  </si>
  <si>
    <t xml:space="preserve">Code signing flags, MAP_JIT</t>
  </si>
  <si>
    <t xml:space="preserve">No RWX memory without entitlement</t>
  </si>
  <si>
    <t xml:space="preserve">On for notarized apps</t>
  </si>
  <si>
    <t xml:space="preserve">Memory tagging (Scudo MTE)</t>
  </si>
  <si>
    <t xml:space="preserve">Android</t>
  </si>
  <si>
    <t xml:space="preserve">Pixel 8+ MTE modes</t>
  </si>
  <si>
    <t xml:space="preserve">Tag-checked heap and stack</t>
  </si>
  <si>
    <t xml:space="preserve">Opt-in per app</t>
  </si>
  <si>
    <t xml:space="preserve">Hardware-Based Stack and Memory Security</t>
  </si>
  <si>
    <t xml:space="preserve">Controls enforced by CPU/MMU silicon. Software only enables and configures them. Intro dates approximate.</t>
  </si>
  <si>
    <t xml:space="preserve">Vendor / arch</t>
  </si>
  <si>
    <t xml:space="preserve">Introduced (approx)</t>
  </si>
  <si>
    <t xml:space="preserve">Needs from OS / compiler</t>
  </si>
  <si>
    <t xml:space="preserve">Check command</t>
  </si>
  <si>
    <t xml:space="preserve">NX / XD bit</t>
  </si>
  <si>
    <t xml:space="preserve">x86 (AMD NX, Intel XD)</t>
  </si>
  <si>
    <t xml:space="preserve">AMD K8 2003; Intel Prescott 2004</t>
  </si>
  <si>
    <t xml:space="preserve">Shellcode on stack/heap</t>
  </si>
  <si>
    <t xml:space="preserve">Page-table bit marks pages non-executable</t>
  </si>
  <si>
    <t xml:space="preserve">OS must set EFER.NXE and map stack without X</t>
  </si>
  <si>
    <t xml:space="preserve">grep -o -w nx /proc/cpuinfo</t>
  </si>
  <si>
    <t xml:space="preserve">SMEP</t>
  </si>
  <si>
    <t xml:space="preserve">x86</t>
  </si>
  <si>
    <t xml:space="preserve">Intel Ivy Bridge 2012</t>
  </si>
  <si>
    <t xml:space="preserve">Kernel executing user pages (ret2usr)</t>
  </si>
  <si>
    <t xml:space="preserve">Faults on supervisor fetch from user page</t>
  </si>
  <si>
    <t xml:space="preserve">OS sets CR4.SMEP</t>
  </si>
  <si>
    <t xml:space="preserve">grep -o -w smep /proc/cpuinfo</t>
  </si>
  <si>
    <t xml:space="preserve">SMAP</t>
  </si>
  <si>
    <t xml:space="preserve">Intel Broadwell 2014</t>
  </si>
  <si>
    <t xml:space="preserve">Kernel reading/writing user pages unintentionally</t>
  </si>
  <si>
    <t xml:space="preserve">Faults on supervisor data access to user pages unless AC flag set</t>
  </si>
  <si>
    <t xml:space="preserve">OS sets CR4.SMAP</t>
  </si>
  <si>
    <t xml:space="preserve">grep -o -w smap /proc/cpuinfo</t>
  </si>
  <si>
    <t xml:space="preserve">UMIP</t>
  </si>
  <si>
    <t xml:space="preserve">Intel Cannon Lake / Ice Lake</t>
  </si>
  <si>
    <t xml:space="preserve">User-space descriptor table leaks (SGDT/SIDT)</t>
  </si>
  <si>
    <t xml:space="preserve">Blocks those instructions in ring 3</t>
  </si>
  <si>
    <t xml:space="preserve">OS sets CR4.UMIP</t>
  </si>
  <si>
    <t xml:space="preserve">grep -o -w umip /proc/cpuinfo</t>
  </si>
  <si>
    <t xml:space="preserve">CET Shadow Stack (SHSTK)</t>
  </si>
  <si>
    <t xml:space="preserve">Intel, AMD</t>
  </si>
  <si>
    <t xml:space="preserve">Intel Tiger Lake 2020; AMD Zen 3</t>
  </si>
  <si>
    <t xml:space="preserve">ROP / return address overwrite</t>
  </si>
  <si>
    <t xml:space="preserve">Second hardware-protected stack of return addresses; RET compares both</t>
  </si>
  <si>
    <t xml:space="preserve">Kernel 6.6+ (user), glibc 2.39+, -fcf-protection / -z shstk</t>
  </si>
  <si>
    <t xml:space="preserve">grep -o -w user_shstk /proc/cpuinfo; dmesg | grep -i shadow</t>
  </si>
  <si>
    <t xml:space="preserve">CET Indirect Branch Tracking (IBT)</t>
  </si>
  <si>
    <t xml:space="preserve">Intel</t>
  </si>
  <si>
    <t xml:space="preserve">Intel Tiger Lake 2020</t>
  </si>
  <si>
    <t xml:space="preserve">Indirect branch must land on ENDBR64</t>
  </si>
  <si>
    <t xml:space="preserve">Compiler -fcf-protection=full; kernel IBT</t>
  </si>
  <si>
    <t xml:space="preserve">grep -o -w ibt /proc/cpuinfo</t>
  </si>
  <si>
    <t xml:space="preserve">Protection Keys (PKU / MPK)</t>
  </si>
  <si>
    <t xml:space="preserve">Intel Skylake-SP 2017</t>
  </si>
  <si>
    <t xml:space="preserve">Cross-domain memory access in-process</t>
  </si>
  <si>
    <t xml:space="preserve">4-bit key per page, rights in PKRU register changed from user space</t>
  </si>
  <si>
    <t xml:space="preserve">Kernel pkeys API</t>
  </si>
  <si>
    <t xml:space="preserve">grep -o -w pku /proc/cpuinfo</t>
  </si>
  <si>
    <t xml:space="preserve">LAM / UAI (pointer masking)</t>
  </si>
  <si>
    <t xml:space="preserve">Intel LAM, AMD UAI</t>
  </si>
  <si>
    <t xml:space="preserve">Recent generations</t>
  </si>
  <si>
    <t xml:space="preserve">Enables cheap tagged pointers for HWASan-style checks</t>
  </si>
  <si>
    <t xml:space="preserve">Ignores upper pointer bits on access</t>
  </si>
  <si>
    <t xml:space="preserve">Kernel + toolchain support</t>
  </si>
  <si>
    <t xml:space="preserve">grep -o -w lam /proc/cpuinfo</t>
  </si>
  <si>
    <t xml:space="preserve">PAC (pointer authentication)</t>
  </si>
  <si>
    <t xml:space="preserve">ARMv8.3-A+</t>
  </si>
  <si>
    <t xml:space="preserve">Apple A12 2018; Cortex-A76 class</t>
  </si>
  <si>
    <t xml:space="preserve">Return address and pointer forgery</t>
  </si>
  <si>
    <t xml:space="preserve">Cryptographic signature in unused pointer bits (PACIASP/AUTIASP)</t>
  </si>
  <si>
    <t xml:space="preserve">grep -o -w paca /proc/cpuinfo</t>
  </si>
  <si>
    <t xml:space="preserve">BTI (branch target identification)</t>
  </si>
  <si>
    <t xml:space="preserve">ARMv8.5-A+</t>
  </si>
  <si>
    <t xml:space="preserve">2019+ cores</t>
  </si>
  <si>
    <t xml:space="preserve">Indirect branch targets need BTI instruction</t>
  </si>
  <si>
    <t xml:space="preserve">-mbranch-protection=bti; PROT_BTI pages</t>
  </si>
  <si>
    <t xml:space="preserve">grep -o -w bti /proc/cpuinfo</t>
  </si>
  <si>
    <t xml:space="preserve">MTE (memory tagging extension)</t>
  </si>
  <si>
    <t xml:space="preserve">Pixel 8 2023; Apple MIE 2025</t>
  </si>
  <si>
    <t xml:space="preserve">Stack/heap overflow, use-after-free, use-after-return</t>
  </si>
  <si>
    <t xml:space="preserve">4-bit tag on memory granules (16 B) matched against pointer tag</t>
  </si>
  <si>
    <t xml:space="preserve">-fsanitize=memtag-stack; kernel + allocator support</t>
  </si>
  <si>
    <t xml:space="preserve">grep -o -w mte /proc/cpuinfo</t>
  </si>
  <si>
    <t xml:space="preserve">PAN / PXN / UXN</t>
  </si>
  <si>
    <t xml:space="preserve">ARMv8-A</t>
  </si>
  <si>
    <t xml:space="preserve">PAN ARMv8.1</t>
  </si>
  <si>
    <t xml:space="preserve">Kernel accessing/executing user memory</t>
  </si>
  <si>
    <t xml:space="preserve">Equivalent of SMAP / SMEP for ARM</t>
  </si>
  <si>
    <t xml:space="preserve">Kernel enables</t>
  </si>
  <si>
    <t xml:space="preserve">dmesg | grep -i PAN</t>
  </si>
  <si>
    <t xml:space="preserve">Zicfiss + Zicfilp</t>
  </si>
  <si>
    <t xml:space="preserve">RISC-V</t>
  </si>
  <si>
    <t xml:space="preserve">Ratified 2024</t>
  </si>
  <si>
    <t xml:space="preserve">ROP and JOP</t>
  </si>
  <si>
    <t xml:space="preserve">Shadow stack and landing-pad labels</t>
  </si>
  <si>
    <t xml:space="preserve">Toolchain + kernel support maturing</t>
  </si>
  <si>
    <t xml:space="preserve">Check /proc/cpuinfo isa string</t>
  </si>
  <si>
    <t xml:space="preserve">CHERI capabilities</t>
  </si>
  <si>
    <t xml:space="preserve">CHERI RISC-V / Arm Morello</t>
  </si>
  <si>
    <t xml:space="preserve">Morello prototype 2022</t>
  </si>
  <si>
    <t xml:space="preserve">Spatial memory safety including stack overflows</t>
  </si>
  <si>
    <t xml:space="preserve">Bounds and permissions carried in 128-bit capability pointers</t>
  </si>
  <si>
    <t xml:space="preserve">CheriBSD / purecap ABI</t>
  </si>
  <si>
    <t xml:space="preserve">Research platform</t>
  </si>
  <si>
    <t xml:space="preserve">Memory encryption (TME / SME)</t>
  </si>
  <si>
    <t xml:space="preserve">Intel TME, AMD SME</t>
  </si>
  <si>
    <t xml:space="preserve">Recent server/client CPUs</t>
  </si>
  <si>
    <t xml:space="preserve">Physical memory attacks / cold boot</t>
  </si>
  <si>
    <t xml:space="preserve">Transparent encryption of DRAM contents</t>
  </si>
  <si>
    <t xml:space="preserve">BIOS + kernel</t>
  </si>
  <si>
    <t xml:space="preserve">dmesg | grep -i -E 'tme|sme'</t>
  </si>
  <si>
    <t xml:space="preserve">MMU guard pages</t>
  </si>
  <si>
    <t xml:space="preserve">Always</t>
  </si>
  <si>
    <t xml:space="preserve">Linear overflow past stack end</t>
  </si>
  <si>
    <t xml:space="preserve">Unmapped page triggers fault</t>
  </si>
  <si>
    <t xml:space="preserve">OS maps guard page / VMAP_STACK</t>
  </si>
  <si>
    <t xml:space="preserve">cat /proc/&lt;pid&gt;/maps</t>
  </si>
  <si>
    <t xml:space="preserve">Hardening Checklist (edit Status column)</t>
  </si>
  <si>
    <t xml:space="preserve">Edit cells in Status (Todo / Done / N/A) and Notes.</t>
  </si>
  <si>
    <t xml:space="preserve">Item</t>
  </si>
  <si>
    <t xml:space="preserve">Flag / command</t>
  </si>
  <si>
    <t xml:space="preserve">Status</t>
  </si>
  <si>
    <t xml:space="preserve">Build with stack protector strong</t>
  </si>
  <si>
    <t xml:space="preserve">Todo</t>
  </si>
  <si>
    <t xml:space="preserve">Build as PIE</t>
  </si>
  <si>
    <t xml:space="preserve">Non-executable stack</t>
  </si>
  <si>
    <t xml:space="preserve">-O2 -D_FORTIFY_SOURCE=3</t>
  </si>
  <si>
    <t xml:space="preserve">CET (x86)</t>
  </si>
  <si>
    <t xml:space="preserve">-fcf-protection=full -Wl,-z,shstk</t>
  </si>
  <si>
    <t xml:space="preserve">PAC + BTI (ARM64)</t>
  </si>
  <si>
    <t xml:space="preserve">Zero-init locals</t>
  </si>
  <si>
    <t xml:space="preserve">Format string errors</t>
  </si>
  <si>
    <t xml:space="preserve">-Werror=format-security</t>
  </si>
  <si>
    <t xml:space="preserve">ASLR enabled</t>
  </si>
  <si>
    <t xml:space="preserve">randomize_va_space=2</t>
  </si>
  <si>
    <t xml:space="preserve">Verify with checksec</t>
  </si>
  <si>
    <t xml:space="preserve">Fuzz with ASan build</t>
  </si>
  <si>
    <t xml:space="preserve">Fork servers re-exec</t>
  </si>
  <si>
    <t xml:space="preserve">Avoid canary reuse across children</t>
  </si>
  <si>
    <t xml:space="preserve">stack_guard_gap not lowered</t>
  </si>
  <si>
    <t xml:space="preserve">cat /proc/cmdline | grep stack_guard_gap</t>
  </si>
  <si>
    <t xml:space="preserve">Kernel VMAP_STACK enabled</t>
  </si>
  <si>
    <t xml:space="preserve">grep VMAP_STACK /boot/config-$(uname -r)</t>
  </si>
  <si>
    <t xml:space="preserve">Kernel stack offset randomization</t>
  </si>
  <si>
    <t xml:space="preserve">randomize_kstack_offset=on in cmdline</t>
  </si>
  <si>
    <t xml:space="preserve">CPU features present (SMEP/SMAP/CET or PAC/BTI/MTE)</t>
  </si>
  <si>
    <t xml:space="preserve">grep flags /proc/cpuinfo</t>
  </si>
  <si>
    <t xml:space="preserve">Done</t>
  </si>
  <si>
    <t xml:space="preserve">N/A</t>
  </si>
  <si>
    <t xml:space="preserve">Completion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</si>
</sst>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23.85" hidden="false" customHeight="false" outlineLevel="0" collapsed="false">
      <c r="A4" s="4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customFormat="false" ht="23.85" hidden="false" customHeight="false" outlineLevel="0" collapsed="false">
      <c r="A5" s="6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</row>
    <row r="6" customFormat="false" ht="15" hidden="false" customHeight="false" outlineLevel="0" collapsed="false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19</v>
      </c>
    </row>
    <row r="7" customFormat="false" ht="23.85" hidden="false" customHeight="false" outlineLevel="0" collapsed="false">
      <c r="A7" s="6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13</v>
      </c>
    </row>
    <row r="8" customFormat="false" ht="23.85" hidden="false" customHeight="false" outlineLevel="0" collapsed="false">
      <c r="A8" s="4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</row>
    <row r="9" customFormat="false" ht="23.85" hidden="false" customHeight="false" outlineLevel="0" collapsed="false">
      <c r="A9" s="6" t="s">
        <v>36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13</v>
      </c>
    </row>
    <row r="10" customFormat="false" ht="23.85" hidden="false" customHeight="false" outlineLevel="0" collapsed="false">
      <c r="A10" s="4" t="s">
        <v>41</v>
      </c>
      <c r="B10" s="5" t="s">
        <v>42</v>
      </c>
      <c r="C10" s="5" t="s">
        <v>43</v>
      </c>
      <c r="D10" s="5" t="s">
        <v>44</v>
      </c>
      <c r="E10" s="5" t="s">
        <v>45</v>
      </c>
      <c r="F10" s="5" t="s">
        <v>13</v>
      </c>
    </row>
    <row r="11" customFormat="false" ht="23.85" hidden="false" customHeight="false" outlineLevel="0" collapsed="false">
      <c r="A11" s="6" t="s">
        <v>46</v>
      </c>
      <c r="B11" s="7" t="s">
        <v>47</v>
      </c>
      <c r="C11" s="7" t="s">
        <v>48</v>
      </c>
      <c r="D11" s="7" t="s">
        <v>49</v>
      </c>
      <c r="E11" s="7" t="s">
        <v>50</v>
      </c>
      <c r="F11" s="7" t="s">
        <v>13</v>
      </c>
    </row>
    <row r="12" customFormat="false" ht="23.85" hidden="false" customHeight="false" outlineLevel="0" collapsed="false">
      <c r="A12" s="4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13</v>
      </c>
    </row>
    <row r="13" customFormat="false" ht="23.85" hidden="false" customHeight="false" outlineLevel="0" collapsed="false">
      <c r="A13" s="6" t="s">
        <v>56</v>
      </c>
      <c r="B13" s="7" t="s">
        <v>57</v>
      </c>
      <c r="C13" s="7" t="s">
        <v>58</v>
      </c>
      <c r="D13" s="7" t="s">
        <v>59</v>
      </c>
      <c r="E13" s="7" t="s">
        <v>60</v>
      </c>
      <c r="F13" s="7" t="s">
        <v>13</v>
      </c>
    </row>
    <row r="14" customFormat="false" ht="23.85" hidden="false" customHeight="false" outlineLevel="0" collapsed="false">
      <c r="A14" s="4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13</v>
      </c>
    </row>
    <row r="15" customFormat="false" ht="23.85" hidden="false" customHeight="false" outlineLevel="0" collapsed="false">
      <c r="A15" s="6" t="s">
        <v>66</v>
      </c>
      <c r="B15" s="7" t="s">
        <v>62</v>
      </c>
      <c r="C15" s="7" t="s">
        <v>67</v>
      </c>
      <c r="D15" s="7" t="s">
        <v>68</v>
      </c>
      <c r="E15" s="7" t="s">
        <v>69</v>
      </c>
      <c r="F15" s="7" t="s">
        <v>70</v>
      </c>
    </row>
    <row r="16" customFormat="false" ht="23.85" hidden="false" customHeight="false" outlineLevel="0" collapsed="false">
      <c r="A16" s="4" t="s">
        <v>71</v>
      </c>
      <c r="B16" s="5" t="s">
        <v>72</v>
      </c>
      <c r="C16" s="5" t="s">
        <v>73</v>
      </c>
      <c r="D16" s="5" t="s">
        <v>74</v>
      </c>
      <c r="E16" s="5" t="s">
        <v>75</v>
      </c>
      <c r="F16" s="5" t="s">
        <v>76</v>
      </c>
    </row>
    <row r="17" customFormat="false" ht="15" hidden="false" customHeight="false" outlineLevel="0" collapsed="false">
      <c r="A17" s="6" t="s">
        <v>77</v>
      </c>
      <c r="B17" s="7" t="s">
        <v>72</v>
      </c>
      <c r="C17" s="7" t="s">
        <v>58</v>
      </c>
      <c r="D17" s="7" t="s">
        <v>78</v>
      </c>
      <c r="E17" s="7" t="s">
        <v>79</v>
      </c>
      <c r="F17" s="7" t="s">
        <v>13</v>
      </c>
    </row>
    <row r="18" customFormat="false" ht="23.85" hidden="false" customHeight="false" outlineLevel="0" collapsed="false">
      <c r="A18" s="4" t="s">
        <v>80</v>
      </c>
      <c r="B18" s="5" t="s">
        <v>81</v>
      </c>
      <c r="C18" s="5" t="s">
        <v>82</v>
      </c>
      <c r="D18" s="5" t="s">
        <v>83</v>
      </c>
      <c r="E18" s="5" t="s">
        <v>84</v>
      </c>
      <c r="F18" s="5" t="s">
        <v>13</v>
      </c>
    </row>
    <row r="19" customFormat="false" ht="15" hidden="false" customHeight="false" outlineLevel="0" collapsed="false">
      <c r="A19" s="6" t="s">
        <v>85</v>
      </c>
      <c r="B19" s="7" t="s">
        <v>42</v>
      </c>
      <c r="C19" s="7" t="s">
        <v>86</v>
      </c>
      <c r="D19" s="7" t="s">
        <v>87</v>
      </c>
      <c r="E19" s="7" t="s">
        <v>88</v>
      </c>
      <c r="F19" s="7" t="s">
        <v>13</v>
      </c>
    </row>
    <row r="20" customFormat="false" ht="15" hidden="false" customHeight="false" outlineLevel="0" collapsed="false">
      <c r="A20" s="4" t="s">
        <v>89</v>
      </c>
      <c r="B20" s="5" t="s">
        <v>21</v>
      </c>
      <c r="C20" s="5" t="s">
        <v>90</v>
      </c>
      <c r="D20" s="5" t="s">
        <v>91</v>
      </c>
      <c r="E20" s="5" t="s">
        <v>92</v>
      </c>
      <c r="F20" s="5" t="s">
        <v>19</v>
      </c>
    </row>
    <row r="21" customFormat="false" ht="23.85" hidden="false" customHeight="false" outlineLevel="0" collapsed="false">
      <c r="A21" s="6" t="s">
        <v>93</v>
      </c>
      <c r="B21" s="7" t="s">
        <v>21</v>
      </c>
      <c r="C21" s="7" t="s">
        <v>94</v>
      </c>
      <c r="D21" s="7" t="s">
        <v>95</v>
      </c>
      <c r="E21" s="7" t="s">
        <v>96</v>
      </c>
      <c r="F21" s="7" t="s">
        <v>97</v>
      </c>
    </row>
    <row r="22" customFormat="false" ht="23.85" hidden="false" customHeight="false" outlineLevel="0" collapsed="false">
      <c r="A22" s="4" t="s">
        <v>98</v>
      </c>
      <c r="B22" s="5" t="s">
        <v>99</v>
      </c>
      <c r="C22" s="5" t="s">
        <v>100</v>
      </c>
      <c r="D22" s="5" t="s">
        <v>101</v>
      </c>
      <c r="E22" s="5" t="s">
        <v>102</v>
      </c>
      <c r="F22" s="5" t="s">
        <v>13</v>
      </c>
    </row>
    <row r="23" customFormat="false" ht="15" hidden="false" customHeight="false" outlineLevel="0" collapsed="false">
      <c r="A23" s="6" t="s">
        <v>103</v>
      </c>
      <c r="B23" s="7" t="s">
        <v>72</v>
      </c>
      <c r="C23" s="7" t="s">
        <v>104</v>
      </c>
      <c r="D23" s="7" t="s">
        <v>105</v>
      </c>
      <c r="E23" s="7" t="s">
        <v>106</v>
      </c>
      <c r="F23" s="7" t="s">
        <v>107</v>
      </c>
    </row>
    <row r="25" customFormat="false" ht="15" hidden="false" customHeight="false" outlineLevel="0" collapsed="false">
      <c r="A25" s="8" t="s">
        <v>108</v>
      </c>
      <c r="B25" s="9" t="n">
        <f aca="false">COUNTA(A4:A23)</f>
        <v>20</v>
      </c>
    </row>
  </sheetData>
  <autoFilter ref="A3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3" t="s">
        <v>110</v>
      </c>
      <c r="B3" s="3" t="s">
        <v>111</v>
      </c>
      <c r="C3" s="3" t="s">
        <v>112</v>
      </c>
    </row>
    <row r="4" customFormat="false" ht="15" hidden="false" customHeight="false" outlineLevel="0" collapsed="false">
      <c r="A4" s="4" t="s">
        <v>113</v>
      </c>
      <c r="B4" s="5" t="s">
        <v>114</v>
      </c>
      <c r="C4" s="5" t="s">
        <v>115</v>
      </c>
    </row>
    <row r="5" customFormat="false" ht="15" hidden="false" customHeight="false" outlineLevel="0" collapsed="false">
      <c r="A5" s="6"/>
      <c r="B5" s="7" t="s">
        <v>116</v>
      </c>
      <c r="C5" s="7" t="s">
        <v>117</v>
      </c>
    </row>
    <row r="6" customFormat="false" ht="15" hidden="false" customHeight="false" outlineLevel="0" collapsed="false">
      <c r="A6" s="4"/>
      <c r="B6" s="5" t="s">
        <v>118</v>
      </c>
      <c r="C6" s="5" t="s">
        <v>119</v>
      </c>
    </row>
    <row r="7" customFormat="false" ht="15" hidden="false" customHeight="false" outlineLevel="0" collapsed="false">
      <c r="A7" s="6"/>
      <c r="B7" s="7" t="s">
        <v>120</v>
      </c>
      <c r="C7" s="7" t="s">
        <v>121</v>
      </c>
    </row>
    <row r="8" customFormat="false" ht="15" hidden="false" customHeight="false" outlineLevel="0" collapsed="false">
      <c r="A8" s="4"/>
      <c r="B8" s="5" t="s">
        <v>122</v>
      </c>
      <c r="C8" s="5" t="s">
        <v>123</v>
      </c>
    </row>
    <row r="9" customFormat="false" ht="15" hidden="false" customHeight="false" outlineLevel="0" collapsed="false">
      <c r="A9" s="6"/>
      <c r="B9" s="7" t="s">
        <v>124</v>
      </c>
      <c r="C9" s="7" t="s">
        <v>125</v>
      </c>
    </row>
    <row r="10" customFormat="false" ht="15" hidden="false" customHeight="false" outlineLevel="0" collapsed="false">
      <c r="A10" s="4"/>
      <c r="B10" s="5" t="s">
        <v>126</v>
      </c>
      <c r="C10" s="5" t="s">
        <v>127</v>
      </c>
    </row>
    <row r="11" customFormat="false" ht="15" hidden="false" customHeight="false" outlineLevel="0" collapsed="false">
      <c r="A11" s="6"/>
      <c r="B11" s="7" t="s">
        <v>128</v>
      </c>
      <c r="C11" s="7" t="s">
        <v>129</v>
      </c>
    </row>
    <row r="12" customFormat="false" ht="15" hidden="false" customHeight="false" outlineLevel="0" collapsed="false">
      <c r="A12" s="4"/>
      <c r="B12" s="5" t="s">
        <v>130</v>
      </c>
      <c r="C12" s="5" t="s">
        <v>131</v>
      </c>
    </row>
    <row r="13" customFormat="false" ht="15" hidden="false" customHeight="false" outlineLevel="0" collapsed="false">
      <c r="A13" s="6" t="s">
        <v>132</v>
      </c>
      <c r="B13" s="7" t="s">
        <v>133</v>
      </c>
      <c r="C13" s="7" t="s">
        <v>134</v>
      </c>
    </row>
  </sheetData>
  <autoFilter ref="A3:C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135</v>
      </c>
    </row>
    <row r="3" customFormat="false" ht="15" hidden="false" customHeight="false" outlineLevel="0" collapsed="false">
      <c r="A3" s="3" t="s">
        <v>136</v>
      </c>
      <c r="B3" s="3" t="s">
        <v>137</v>
      </c>
      <c r="C3" s="3" t="s">
        <v>138</v>
      </c>
      <c r="D3" s="3" t="s">
        <v>139</v>
      </c>
    </row>
    <row r="4" customFormat="false" ht="15" hidden="false" customHeight="false" outlineLevel="0" collapsed="false">
      <c r="A4" s="4" t="s">
        <v>140</v>
      </c>
      <c r="B4" s="5" t="s">
        <v>141</v>
      </c>
      <c r="C4" s="5" t="s">
        <v>142</v>
      </c>
      <c r="D4" s="5" t="s">
        <v>143</v>
      </c>
    </row>
    <row r="5" customFormat="false" ht="15" hidden="false" customHeight="false" outlineLevel="0" collapsed="false">
      <c r="A5" s="6" t="s">
        <v>144</v>
      </c>
      <c r="B5" s="7" t="s">
        <v>141</v>
      </c>
      <c r="C5" s="7" t="s">
        <v>145</v>
      </c>
      <c r="D5" s="7" t="s">
        <v>146</v>
      </c>
    </row>
    <row r="6" customFormat="false" ht="15" hidden="false" customHeight="false" outlineLevel="0" collapsed="false">
      <c r="A6" s="4" t="s">
        <v>147</v>
      </c>
      <c r="B6" s="5" t="s">
        <v>141</v>
      </c>
      <c r="C6" s="5" t="s">
        <v>148</v>
      </c>
      <c r="D6" s="5" t="s">
        <v>149</v>
      </c>
    </row>
    <row r="7" customFormat="false" ht="15" hidden="false" customHeight="false" outlineLevel="0" collapsed="false">
      <c r="A7" s="6" t="s">
        <v>150</v>
      </c>
      <c r="B7" s="7" t="s">
        <v>151</v>
      </c>
      <c r="C7" s="7" t="s">
        <v>152</v>
      </c>
      <c r="D7" s="7" t="s">
        <v>153</v>
      </c>
    </row>
    <row r="8" customFormat="false" ht="15" hidden="false" customHeight="false" outlineLevel="0" collapsed="false">
      <c r="A8" s="4" t="s">
        <v>154</v>
      </c>
      <c r="B8" s="5" t="s">
        <v>141</v>
      </c>
      <c r="C8" s="5" t="s">
        <v>155</v>
      </c>
      <c r="D8" s="5" t="s">
        <v>156</v>
      </c>
    </row>
    <row r="9" customFormat="false" ht="15" hidden="false" customHeight="false" outlineLevel="0" collapsed="false">
      <c r="A9" s="6" t="s">
        <v>157</v>
      </c>
      <c r="B9" s="7" t="s">
        <v>141</v>
      </c>
      <c r="C9" s="7" t="s">
        <v>158</v>
      </c>
      <c r="D9" s="7" t="s">
        <v>159</v>
      </c>
    </row>
    <row r="10" customFormat="false" ht="15" hidden="false" customHeight="false" outlineLevel="0" collapsed="false">
      <c r="A10" s="4" t="s">
        <v>160</v>
      </c>
      <c r="B10" s="5" t="s">
        <v>161</v>
      </c>
      <c r="C10" s="5" t="s">
        <v>162</v>
      </c>
      <c r="D10" s="5"/>
    </row>
    <row r="11" customFormat="false" ht="15" hidden="false" customHeight="false" outlineLevel="0" collapsed="false">
      <c r="A11" s="6" t="s">
        <v>163</v>
      </c>
      <c r="B11" s="7" t="s">
        <v>161</v>
      </c>
      <c r="C11" s="7" t="s">
        <v>164</v>
      </c>
      <c r="D11" s="7" t="s">
        <v>165</v>
      </c>
    </row>
    <row r="12" customFormat="false" ht="15" hidden="false" customHeight="false" outlineLevel="0" collapsed="false">
      <c r="A12" s="4" t="s">
        <v>166</v>
      </c>
      <c r="B12" s="5" t="s">
        <v>161</v>
      </c>
      <c r="C12" s="5" t="s">
        <v>167</v>
      </c>
      <c r="D12" s="5" t="s">
        <v>168</v>
      </c>
    </row>
    <row r="13" customFormat="false" ht="15" hidden="false" customHeight="false" outlineLevel="0" collapsed="false">
      <c r="A13" s="6" t="s">
        <v>169</v>
      </c>
      <c r="B13" s="7" t="s">
        <v>170</v>
      </c>
      <c r="C13" s="7" t="s">
        <v>171</v>
      </c>
      <c r="D13" s="7" t="s">
        <v>172</v>
      </c>
    </row>
    <row r="14" customFormat="false" ht="15" hidden="false" customHeight="false" outlineLevel="0" collapsed="false">
      <c r="A14" s="4" t="s">
        <v>173</v>
      </c>
      <c r="B14" s="5" t="s">
        <v>174</v>
      </c>
      <c r="C14" s="5" t="s">
        <v>175</v>
      </c>
      <c r="D14" s="5" t="s">
        <v>176</v>
      </c>
    </row>
    <row r="15" customFormat="false" ht="15" hidden="false" customHeight="false" outlineLevel="0" collapsed="false">
      <c r="A15" s="6" t="s">
        <v>177</v>
      </c>
      <c r="B15" s="7" t="s">
        <v>141</v>
      </c>
      <c r="C15" s="7" t="s">
        <v>178</v>
      </c>
      <c r="D15" s="7"/>
    </row>
    <row r="16" customFormat="false" ht="15" hidden="false" customHeight="false" outlineLevel="0" collapsed="false">
      <c r="A16" s="4" t="s">
        <v>179</v>
      </c>
      <c r="B16" s="5" t="s">
        <v>180</v>
      </c>
      <c r="C16" s="5" t="s">
        <v>181</v>
      </c>
      <c r="D16" s="5" t="s">
        <v>182</v>
      </c>
    </row>
    <row r="17" customFormat="false" ht="15" hidden="false" customHeight="false" outlineLevel="0" collapsed="false">
      <c r="A17" s="6" t="s">
        <v>183</v>
      </c>
      <c r="B17" s="7" t="s">
        <v>170</v>
      </c>
      <c r="C17" s="7" t="s">
        <v>184</v>
      </c>
      <c r="D17" s="7" t="s">
        <v>185</v>
      </c>
    </row>
    <row r="18" customFormat="false" ht="15" hidden="false" customHeight="false" outlineLevel="0" collapsed="false">
      <c r="A18" s="4" t="s">
        <v>186</v>
      </c>
      <c r="B18" s="5" t="s">
        <v>187</v>
      </c>
      <c r="C18" s="5" t="s">
        <v>188</v>
      </c>
      <c r="D18" s="5" t="s">
        <v>189</v>
      </c>
    </row>
    <row r="19" customFormat="false" ht="15" hidden="false" customHeight="false" outlineLevel="0" collapsed="false">
      <c r="A19" s="6" t="s">
        <v>75</v>
      </c>
      <c r="B19" s="7" t="s">
        <v>190</v>
      </c>
      <c r="C19" s="7" t="s">
        <v>191</v>
      </c>
      <c r="D19" s="7" t="s">
        <v>192</v>
      </c>
    </row>
    <row r="20" customFormat="false" ht="15" hidden="false" customHeight="false" outlineLevel="0" collapsed="false">
      <c r="A20" s="4" t="s">
        <v>79</v>
      </c>
      <c r="B20" s="5" t="s">
        <v>193</v>
      </c>
      <c r="C20" s="5" t="s">
        <v>194</v>
      </c>
      <c r="D20" s="5" t="s">
        <v>195</v>
      </c>
    </row>
    <row r="21" customFormat="false" ht="15" hidden="false" customHeight="false" outlineLevel="0" collapsed="false">
      <c r="A21" s="6" t="s">
        <v>84</v>
      </c>
      <c r="B21" s="7" t="s">
        <v>190</v>
      </c>
      <c r="C21" s="7" t="s">
        <v>196</v>
      </c>
      <c r="D21" s="7" t="s">
        <v>197</v>
      </c>
    </row>
    <row r="22" customFormat="false" ht="15" hidden="false" customHeight="false" outlineLevel="0" collapsed="false">
      <c r="A22" s="4" t="s">
        <v>198</v>
      </c>
      <c r="B22" s="5" t="s">
        <v>199</v>
      </c>
      <c r="C22" s="5" t="s">
        <v>200</v>
      </c>
      <c r="D22" s="5" t="s">
        <v>201</v>
      </c>
    </row>
    <row r="23" customFormat="false" ht="15" hidden="false" customHeight="false" outlineLevel="0" collapsed="false">
      <c r="A23" s="6" t="s">
        <v>88</v>
      </c>
      <c r="B23" s="7" t="s">
        <v>202</v>
      </c>
      <c r="C23" s="7" t="s">
        <v>203</v>
      </c>
      <c r="D23" s="7" t="s">
        <v>204</v>
      </c>
    </row>
    <row r="24" customFormat="false" ht="15" hidden="false" customHeight="false" outlineLevel="0" collapsed="false">
      <c r="A24" s="4" t="s">
        <v>205</v>
      </c>
      <c r="B24" s="5" t="s">
        <v>206</v>
      </c>
      <c r="C24" s="5" t="s">
        <v>207</v>
      </c>
      <c r="D24" s="5" t="s">
        <v>208</v>
      </c>
    </row>
    <row r="25" customFormat="false" ht="15" hidden="false" customHeight="false" outlineLevel="0" collapsed="false">
      <c r="A25" s="6" t="s">
        <v>209</v>
      </c>
      <c r="B25" s="7" t="s">
        <v>141</v>
      </c>
      <c r="C25" s="7" t="s">
        <v>210</v>
      </c>
      <c r="D25" s="7" t="s">
        <v>211</v>
      </c>
    </row>
    <row r="26" customFormat="false" ht="15" hidden="false" customHeight="false" outlineLevel="0" collapsed="false">
      <c r="A26" s="4" t="s">
        <v>212</v>
      </c>
      <c r="B26" s="5" t="s">
        <v>151</v>
      </c>
      <c r="C26" s="5" t="s">
        <v>213</v>
      </c>
      <c r="D26" s="5"/>
    </row>
    <row r="27" customFormat="false" ht="15" hidden="false" customHeight="false" outlineLevel="0" collapsed="false">
      <c r="A27" s="6" t="s">
        <v>214</v>
      </c>
      <c r="B27" s="7" t="s">
        <v>141</v>
      </c>
      <c r="C27" s="7" t="s">
        <v>215</v>
      </c>
      <c r="D27" s="7" t="s">
        <v>216</v>
      </c>
    </row>
  </sheetData>
  <autoFilter ref="A3:D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3" t="s">
        <v>218</v>
      </c>
      <c r="B3" s="3" t="s">
        <v>219</v>
      </c>
      <c r="C3" s="3" t="s">
        <v>2</v>
      </c>
    </row>
    <row r="4" customFormat="false" ht="15" hidden="false" customHeight="false" outlineLevel="0" collapsed="false">
      <c r="A4" s="4" t="s">
        <v>220</v>
      </c>
      <c r="B4" s="5" t="s">
        <v>221</v>
      </c>
      <c r="C4" s="5" t="s">
        <v>222</v>
      </c>
    </row>
    <row r="5" customFormat="false" ht="15" hidden="false" customHeight="false" outlineLevel="0" collapsed="false">
      <c r="A5" s="6" t="s">
        <v>223</v>
      </c>
      <c r="B5" s="7" t="s">
        <v>224</v>
      </c>
      <c r="C5" s="7" t="s">
        <v>225</v>
      </c>
    </row>
    <row r="6" customFormat="false" ht="15" hidden="false" customHeight="false" outlineLevel="0" collapsed="false">
      <c r="A6" s="4" t="s">
        <v>226</v>
      </c>
      <c r="B6" s="5" t="s">
        <v>227</v>
      </c>
      <c r="C6" s="5" t="s">
        <v>228</v>
      </c>
    </row>
    <row r="7" customFormat="false" ht="15" hidden="false" customHeight="false" outlineLevel="0" collapsed="false">
      <c r="A7" s="6" t="s">
        <v>229</v>
      </c>
      <c r="B7" s="7" t="s">
        <v>230</v>
      </c>
      <c r="C7" s="7" t="s">
        <v>25</v>
      </c>
    </row>
    <row r="8" customFormat="false" ht="15" hidden="false" customHeight="false" outlineLevel="0" collapsed="false">
      <c r="A8" s="4" t="s">
        <v>231</v>
      </c>
      <c r="B8" s="5" t="s">
        <v>232</v>
      </c>
      <c r="C8" s="5" t="s">
        <v>233</v>
      </c>
    </row>
    <row r="9" customFormat="false" ht="15" hidden="false" customHeight="false" outlineLevel="0" collapsed="false">
      <c r="A9" s="6" t="s">
        <v>234</v>
      </c>
      <c r="B9" s="7" t="s">
        <v>235</v>
      </c>
      <c r="C9" s="7" t="s">
        <v>233</v>
      </c>
    </row>
    <row r="10" customFormat="false" ht="15" hidden="false" customHeight="false" outlineLevel="0" collapsed="false">
      <c r="A10" s="4" t="s">
        <v>236</v>
      </c>
      <c r="B10" s="5" t="s">
        <v>237</v>
      </c>
      <c r="C10" s="5" t="s">
        <v>238</v>
      </c>
    </row>
    <row r="11" customFormat="false" ht="15" hidden="false" customHeight="false" outlineLevel="0" collapsed="false">
      <c r="A11" s="6" t="s">
        <v>239</v>
      </c>
      <c r="B11" s="7" t="s">
        <v>240</v>
      </c>
      <c r="C11" s="7" t="s">
        <v>241</v>
      </c>
    </row>
    <row r="12" customFormat="false" ht="15" hidden="false" customHeight="false" outlineLevel="0" collapsed="false">
      <c r="A12" s="4" t="s">
        <v>242</v>
      </c>
      <c r="B12" s="5" t="s">
        <v>243</v>
      </c>
      <c r="C12" s="5" t="s">
        <v>244</v>
      </c>
    </row>
    <row r="13" customFormat="false" ht="15" hidden="false" customHeight="false" outlineLevel="0" collapsed="false">
      <c r="A13" s="6" t="s">
        <v>245</v>
      </c>
      <c r="B13" s="7" t="s">
        <v>246</v>
      </c>
      <c r="C13" s="7" t="s">
        <v>241</v>
      </c>
    </row>
    <row r="14" customFormat="false" ht="15" hidden="false" customHeight="false" outlineLevel="0" collapsed="false">
      <c r="A14" s="4" t="s">
        <v>247</v>
      </c>
      <c r="B14" s="5" t="s">
        <v>248</v>
      </c>
      <c r="C14" s="5" t="s">
        <v>20</v>
      </c>
    </row>
    <row r="15" customFormat="false" ht="15" hidden="false" customHeight="false" outlineLevel="0" collapsed="false">
      <c r="A15" s="6" t="s">
        <v>249</v>
      </c>
      <c r="B15" s="7" t="s">
        <v>250</v>
      </c>
      <c r="C15" s="7" t="s">
        <v>20</v>
      </c>
    </row>
    <row r="16" customFormat="false" ht="15" hidden="false" customHeight="false" outlineLevel="0" collapsed="false">
      <c r="A16" s="4" t="s">
        <v>251</v>
      </c>
      <c r="B16" s="5" t="s">
        <v>252</v>
      </c>
      <c r="C16" s="5" t="s">
        <v>20</v>
      </c>
    </row>
    <row r="17" customFormat="false" ht="15" hidden="false" customHeight="false" outlineLevel="0" collapsed="false">
      <c r="A17" s="6" t="s">
        <v>253</v>
      </c>
      <c r="B17" s="7" t="s">
        <v>254</v>
      </c>
      <c r="C17" s="7" t="s">
        <v>255</v>
      </c>
    </row>
    <row r="18" customFormat="false" ht="15" hidden="false" customHeight="false" outlineLevel="0" collapsed="false">
      <c r="A18" s="4" t="s">
        <v>256</v>
      </c>
      <c r="B18" s="5" t="s">
        <v>257</v>
      </c>
      <c r="C18" s="5" t="s">
        <v>258</v>
      </c>
    </row>
    <row r="19" customFormat="false" ht="15" hidden="false" customHeight="false" outlineLevel="0" collapsed="false">
      <c r="A19" s="6" t="s">
        <v>259</v>
      </c>
      <c r="B19" s="7" t="s">
        <v>260</v>
      </c>
      <c r="C19" s="7" t="s">
        <v>258</v>
      </c>
    </row>
    <row r="20" customFormat="false" ht="15" hidden="false" customHeight="false" outlineLevel="0" collapsed="false">
      <c r="A20" s="4" t="s">
        <v>261</v>
      </c>
      <c r="B20" s="5" t="s">
        <v>262</v>
      </c>
      <c r="C20" s="5" t="s">
        <v>263</v>
      </c>
    </row>
    <row r="21" customFormat="false" ht="23.85" hidden="false" customHeight="false" outlineLevel="0" collapsed="false">
      <c r="A21" s="6" t="s">
        <v>264</v>
      </c>
      <c r="B21" s="7" t="s">
        <v>265</v>
      </c>
      <c r="C21" s="7" t="s">
        <v>21</v>
      </c>
    </row>
  </sheetData>
  <autoFilter ref="A3:C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5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266</v>
      </c>
    </row>
    <row r="3" customFormat="false" ht="15" hidden="false" customHeight="false" outlineLevel="0" collapsed="false">
      <c r="A3" s="3" t="s">
        <v>267</v>
      </c>
      <c r="B3" s="3" t="s">
        <v>268</v>
      </c>
      <c r="C3" s="3" t="s">
        <v>269</v>
      </c>
      <c r="D3" s="3" t="s">
        <v>139</v>
      </c>
    </row>
    <row r="4" customFormat="false" ht="15" hidden="false" customHeight="false" outlineLevel="0" collapsed="false">
      <c r="A4" s="4" t="s">
        <v>270</v>
      </c>
      <c r="B4" s="5" t="s">
        <v>271</v>
      </c>
      <c r="C4" s="5" t="s">
        <v>272</v>
      </c>
      <c r="D4" s="5" t="s">
        <v>273</v>
      </c>
    </row>
    <row r="5" customFormat="false" ht="15" hidden="false" customHeight="false" outlineLevel="0" collapsed="false">
      <c r="A5" s="6" t="s">
        <v>274</v>
      </c>
      <c r="B5" s="7" t="s">
        <v>275</v>
      </c>
      <c r="C5" s="7" t="s">
        <v>276</v>
      </c>
      <c r="D5" s="7" t="s">
        <v>277</v>
      </c>
    </row>
    <row r="6" customFormat="false" ht="23.85" hidden="false" customHeight="false" outlineLevel="0" collapsed="false">
      <c r="A6" s="4" t="s">
        <v>278</v>
      </c>
      <c r="B6" s="5" t="s">
        <v>279</v>
      </c>
      <c r="C6" s="5" t="s">
        <v>280</v>
      </c>
      <c r="D6" s="5" t="s">
        <v>281</v>
      </c>
    </row>
    <row r="7" customFormat="false" ht="15" hidden="false" customHeight="false" outlineLevel="0" collapsed="false">
      <c r="A7" s="6" t="s">
        <v>63</v>
      </c>
      <c r="B7" s="7" t="s">
        <v>282</v>
      </c>
      <c r="C7" s="7" t="s">
        <v>283</v>
      </c>
      <c r="D7" s="7" t="s">
        <v>284</v>
      </c>
    </row>
    <row r="8" customFormat="false" ht="15" hidden="false" customHeight="false" outlineLevel="0" collapsed="false">
      <c r="A8" s="4" t="s">
        <v>285</v>
      </c>
      <c r="B8" s="5" t="s">
        <v>228</v>
      </c>
      <c r="C8" s="5" t="s">
        <v>286</v>
      </c>
      <c r="D8" s="5" t="s">
        <v>287</v>
      </c>
    </row>
    <row r="9" customFormat="false" ht="15" hidden="false" customHeight="false" outlineLevel="0" collapsed="false">
      <c r="A9" s="6" t="s">
        <v>288</v>
      </c>
      <c r="B9" s="7" t="s">
        <v>289</v>
      </c>
      <c r="C9" s="7" t="s">
        <v>290</v>
      </c>
      <c r="D9" s="7" t="s">
        <v>291</v>
      </c>
    </row>
    <row r="10" customFormat="false" ht="15" hidden="false" customHeight="false" outlineLevel="0" collapsed="false">
      <c r="A10" s="4" t="s">
        <v>292</v>
      </c>
      <c r="B10" s="5" t="s">
        <v>293</v>
      </c>
      <c r="C10" s="5" t="s">
        <v>294</v>
      </c>
      <c r="D10" s="5" t="s">
        <v>295</v>
      </c>
    </row>
    <row r="11" customFormat="false" ht="23.85" hidden="false" customHeight="false" outlineLevel="0" collapsed="false">
      <c r="A11" s="6" t="s">
        <v>296</v>
      </c>
      <c r="B11" s="7" t="s">
        <v>297</v>
      </c>
      <c r="C11" s="7" t="s">
        <v>298</v>
      </c>
      <c r="D11" s="7" t="s">
        <v>299</v>
      </c>
    </row>
    <row r="12" customFormat="false" ht="23.85" hidden="false" customHeight="false" outlineLevel="0" collapsed="false">
      <c r="A12" s="4" t="s">
        <v>300</v>
      </c>
      <c r="B12" s="5" t="s">
        <v>301</v>
      </c>
      <c r="C12" s="5" t="s">
        <v>302</v>
      </c>
      <c r="D12" s="5" t="s">
        <v>303</v>
      </c>
    </row>
    <row r="13" customFormat="false" ht="15" hidden="false" customHeight="false" outlineLevel="0" collapsed="false">
      <c r="A13" s="6" t="s">
        <v>304</v>
      </c>
      <c r="B13" s="7" t="s">
        <v>305</v>
      </c>
      <c r="C13" s="7" t="s">
        <v>306</v>
      </c>
      <c r="D13" s="7" t="s">
        <v>307</v>
      </c>
    </row>
    <row r="14" customFormat="false" ht="15" hidden="false" customHeight="false" outlineLevel="0" collapsed="false">
      <c r="A14" s="4" t="s">
        <v>308</v>
      </c>
      <c r="B14" s="5" t="s">
        <v>309</v>
      </c>
      <c r="C14" s="5" t="s">
        <v>310</v>
      </c>
      <c r="D14" s="5" t="s">
        <v>311</v>
      </c>
    </row>
    <row r="15" customFormat="false" ht="15" hidden="false" customHeight="false" outlineLevel="0" collapsed="false">
      <c r="A15" s="6" t="s">
        <v>312</v>
      </c>
      <c r="B15" s="7" t="s">
        <v>313</v>
      </c>
      <c r="C15" s="7" t="s">
        <v>314</v>
      </c>
      <c r="D15" s="7" t="s">
        <v>315</v>
      </c>
    </row>
    <row r="16" customFormat="false" ht="15" hidden="false" customHeight="false" outlineLevel="0" collapsed="false">
      <c r="A16" s="4" t="s">
        <v>316</v>
      </c>
      <c r="B16" s="5" t="s">
        <v>317</v>
      </c>
      <c r="C16" s="5" t="s">
        <v>318</v>
      </c>
      <c r="D16" s="5" t="s">
        <v>319</v>
      </c>
    </row>
    <row r="17" customFormat="false" ht="15" hidden="false" customHeight="false" outlineLevel="0" collapsed="false">
      <c r="A17" s="6" t="s">
        <v>320</v>
      </c>
      <c r="B17" s="7" t="s">
        <v>85</v>
      </c>
      <c r="C17" s="7" t="s">
        <v>321</v>
      </c>
      <c r="D17" s="7" t="s">
        <v>322</v>
      </c>
    </row>
    <row r="18" customFormat="false" ht="15" hidden="false" customHeight="false" outlineLevel="0" collapsed="false">
      <c r="A18" s="4" t="s">
        <v>323</v>
      </c>
      <c r="B18" s="5" t="s">
        <v>324</v>
      </c>
      <c r="C18" s="5" t="s">
        <v>325</v>
      </c>
      <c r="D18" s="5" t="s">
        <v>326</v>
      </c>
    </row>
    <row r="19" customFormat="false" ht="15" hidden="false" customHeight="false" outlineLevel="0" collapsed="false">
      <c r="A19" s="6" t="s">
        <v>327</v>
      </c>
      <c r="B19" s="7" t="s">
        <v>328</v>
      </c>
      <c r="C19" s="7" t="s">
        <v>329</v>
      </c>
      <c r="D19" s="7" t="s">
        <v>330</v>
      </c>
    </row>
  </sheetData>
  <autoFilter ref="A3:D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331</v>
      </c>
    </row>
    <row r="3" customFormat="false" ht="15" hidden="false" customHeight="false" outlineLevel="0" collapsed="false">
      <c r="A3" s="3" t="s">
        <v>332</v>
      </c>
      <c r="B3" s="3" t="s">
        <v>333</v>
      </c>
      <c r="C3" s="3" t="s">
        <v>138</v>
      </c>
      <c r="D3" s="3" t="s">
        <v>139</v>
      </c>
    </row>
    <row r="4" customFormat="false" ht="15" hidden="false" customHeight="false" outlineLevel="0" collapsed="false">
      <c r="A4" s="4" t="s">
        <v>334</v>
      </c>
      <c r="B4" s="5" t="s">
        <v>335</v>
      </c>
      <c r="C4" s="5" t="s">
        <v>336</v>
      </c>
      <c r="D4" s="5" t="s">
        <v>337</v>
      </c>
    </row>
    <row r="5" customFormat="false" ht="15" hidden="false" customHeight="false" outlineLevel="0" collapsed="false">
      <c r="A5" s="6" t="s">
        <v>338</v>
      </c>
      <c r="B5" s="7" t="s">
        <v>339</v>
      </c>
      <c r="C5" s="7" t="s">
        <v>340</v>
      </c>
      <c r="D5" s="7" t="s">
        <v>341</v>
      </c>
    </row>
    <row r="6" customFormat="false" ht="15" hidden="false" customHeight="false" outlineLevel="0" collapsed="false">
      <c r="A6" s="4" t="s">
        <v>342</v>
      </c>
      <c r="B6" s="5" t="s">
        <v>343</v>
      </c>
      <c r="C6" s="5" t="s">
        <v>344</v>
      </c>
      <c r="D6" s="5"/>
    </row>
    <row r="7" customFormat="false" ht="15" hidden="false" customHeight="false" outlineLevel="0" collapsed="false">
      <c r="A7" s="6" t="s">
        <v>345</v>
      </c>
      <c r="B7" s="7" t="s">
        <v>343</v>
      </c>
      <c r="C7" s="7" t="s">
        <v>346</v>
      </c>
      <c r="D7" s="7" t="s">
        <v>347</v>
      </c>
    </row>
    <row r="8" customFormat="false" ht="15" hidden="false" customHeight="false" outlineLevel="0" collapsed="false">
      <c r="A8" s="4" t="s">
        <v>348</v>
      </c>
      <c r="B8" s="5" t="s">
        <v>343</v>
      </c>
      <c r="C8" s="5" t="s">
        <v>349</v>
      </c>
      <c r="D8" s="5" t="s">
        <v>350</v>
      </c>
    </row>
    <row r="9" customFormat="false" ht="15" hidden="false" customHeight="false" outlineLevel="0" collapsed="false">
      <c r="A9" s="6" t="s">
        <v>351</v>
      </c>
      <c r="B9" s="7" t="s">
        <v>343</v>
      </c>
      <c r="C9" s="7" t="s">
        <v>352</v>
      </c>
      <c r="D9" s="7" t="s">
        <v>353</v>
      </c>
    </row>
    <row r="10" customFormat="false" ht="15" hidden="false" customHeight="false" outlineLevel="0" collapsed="false">
      <c r="A10" s="4" t="s">
        <v>354</v>
      </c>
      <c r="B10" s="5" t="s">
        <v>343</v>
      </c>
      <c r="C10" s="5" t="s">
        <v>355</v>
      </c>
      <c r="D10" s="5"/>
    </row>
    <row r="11" customFormat="false" ht="15" hidden="false" customHeight="false" outlineLevel="0" collapsed="false">
      <c r="A11" s="6" t="s">
        <v>356</v>
      </c>
      <c r="B11" s="7" t="s">
        <v>343</v>
      </c>
      <c r="C11" s="7" t="s">
        <v>357</v>
      </c>
      <c r="D11" s="7" t="s">
        <v>358</v>
      </c>
    </row>
    <row r="12" customFormat="false" ht="15" hidden="false" customHeight="false" outlineLevel="0" collapsed="false">
      <c r="A12" s="4" t="s">
        <v>359</v>
      </c>
      <c r="B12" s="5" t="s">
        <v>343</v>
      </c>
      <c r="C12" s="5" t="s">
        <v>360</v>
      </c>
      <c r="D12" s="5"/>
    </row>
    <row r="13" customFormat="false" ht="15" hidden="false" customHeight="false" outlineLevel="0" collapsed="false">
      <c r="A13" s="6" t="s">
        <v>361</v>
      </c>
      <c r="B13" s="7" t="s">
        <v>343</v>
      </c>
      <c r="C13" s="7" t="s">
        <v>362</v>
      </c>
      <c r="D13" s="7" t="s">
        <v>363</v>
      </c>
    </row>
    <row r="14" customFormat="false" ht="15" hidden="false" customHeight="false" outlineLevel="0" collapsed="false">
      <c r="A14" s="4" t="s">
        <v>364</v>
      </c>
      <c r="B14" s="5" t="s">
        <v>343</v>
      </c>
      <c r="C14" s="5" t="s">
        <v>365</v>
      </c>
      <c r="D14" s="5" t="s">
        <v>366</v>
      </c>
    </row>
    <row r="15" customFormat="false" ht="15" hidden="false" customHeight="false" outlineLevel="0" collapsed="false">
      <c r="A15" s="6" t="s">
        <v>367</v>
      </c>
      <c r="B15" s="7" t="s">
        <v>368</v>
      </c>
      <c r="C15" s="7" t="s">
        <v>369</v>
      </c>
      <c r="D15" s="7" t="s">
        <v>370</v>
      </c>
    </row>
    <row r="16" customFormat="false" ht="15" hidden="false" customHeight="false" outlineLevel="0" collapsed="false">
      <c r="A16" s="4" t="s">
        <v>371</v>
      </c>
      <c r="B16" s="5" t="s">
        <v>372</v>
      </c>
      <c r="C16" s="5" t="s">
        <v>373</v>
      </c>
      <c r="D16" s="5" t="s">
        <v>374</v>
      </c>
    </row>
  </sheetData>
  <autoFilter ref="A3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375</v>
      </c>
    </row>
    <row r="3" customFormat="false" ht="15" hidden="false" customHeight="false" outlineLevel="0" collapsed="false">
      <c r="A3" s="3" t="s">
        <v>376</v>
      </c>
      <c r="B3" s="3" t="s">
        <v>3</v>
      </c>
      <c r="C3" s="3" t="s">
        <v>138</v>
      </c>
      <c r="D3" s="3" t="s">
        <v>139</v>
      </c>
    </row>
    <row r="4" customFormat="false" ht="15" hidden="false" customHeight="false" outlineLevel="0" collapsed="false">
      <c r="A4" s="4" t="s">
        <v>377</v>
      </c>
      <c r="B4" s="5" t="s">
        <v>378</v>
      </c>
      <c r="C4" s="5" t="s">
        <v>379</v>
      </c>
      <c r="D4" s="5" t="s">
        <v>92</v>
      </c>
    </row>
    <row r="5" customFormat="false" ht="15" hidden="false" customHeight="false" outlineLevel="0" collapsed="false">
      <c r="A5" s="6" t="s">
        <v>380</v>
      </c>
      <c r="B5" s="7" t="s">
        <v>381</v>
      </c>
      <c r="C5" s="7" t="s">
        <v>382</v>
      </c>
      <c r="D5" s="7" t="s">
        <v>92</v>
      </c>
    </row>
    <row r="6" customFormat="false" ht="15" hidden="false" customHeight="false" outlineLevel="0" collapsed="false">
      <c r="A6" s="4" t="s">
        <v>383</v>
      </c>
      <c r="B6" s="5" t="s">
        <v>381</v>
      </c>
      <c r="C6" s="5" t="s">
        <v>384</v>
      </c>
      <c r="D6" s="5" t="s">
        <v>385</v>
      </c>
    </row>
    <row r="7" customFormat="false" ht="15" hidden="false" customHeight="false" outlineLevel="0" collapsed="false">
      <c r="A7" s="6" t="s">
        <v>386</v>
      </c>
      <c r="B7" s="7" t="s">
        <v>381</v>
      </c>
      <c r="C7" s="7" t="s">
        <v>387</v>
      </c>
      <c r="D7" s="7" t="s">
        <v>92</v>
      </c>
    </row>
    <row r="8" customFormat="false" ht="15" hidden="false" customHeight="false" outlineLevel="0" collapsed="false">
      <c r="A8" s="4" t="s">
        <v>388</v>
      </c>
      <c r="B8" s="5" t="s">
        <v>389</v>
      </c>
      <c r="C8" s="5" t="s">
        <v>390</v>
      </c>
      <c r="D8" s="5"/>
    </row>
    <row r="9" customFormat="false" ht="15" hidden="false" customHeight="false" outlineLevel="0" collapsed="false">
      <c r="A9" s="6" t="s">
        <v>391</v>
      </c>
      <c r="B9" s="7" t="s">
        <v>389</v>
      </c>
      <c r="C9" s="7" t="s">
        <v>392</v>
      </c>
      <c r="D9" s="7"/>
    </row>
    <row r="10" customFormat="false" ht="15" hidden="false" customHeight="false" outlineLevel="0" collapsed="false">
      <c r="A10" s="4" t="s">
        <v>393</v>
      </c>
      <c r="B10" s="5" t="s">
        <v>381</v>
      </c>
      <c r="C10" s="5" t="s">
        <v>394</v>
      </c>
      <c r="D10" s="5" t="s">
        <v>395</v>
      </c>
    </row>
    <row r="11" customFormat="false" ht="15" hidden="false" customHeight="false" outlineLevel="0" collapsed="false">
      <c r="A11" s="6" t="s">
        <v>396</v>
      </c>
      <c r="B11" s="7" t="s">
        <v>397</v>
      </c>
      <c r="C11" s="7" t="s">
        <v>398</v>
      </c>
      <c r="D11" s="7" t="s">
        <v>399</v>
      </c>
    </row>
    <row r="12" customFormat="false" ht="15" hidden="false" customHeight="false" outlineLevel="0" collapsed="false">
      <c r="A12" s="4" t="s">
        <v>400</v>
      </c>
      <c r="B12" s="5" t="s">
        <v>401</v>
      </c>
      <c r="C12" s="5" t="s">
        <v>402</v>
      </c>
      <c r="D12" s="5" t="s">
        <v>403</v>
      </c>
    </row>
    <row r="13" customFormat="false" ht="15" hidden="false" customHeight="false" outlineLevel="0" collapsed="false">
      <c r="A13" s="6" t="s">
        <v>404</v>
      </c>
      <c r="B13" s="7" t="s">
        <v>389</v>
      </c>
      <c r="C13" s="7" t="s">
        <v>405</v>
      </c>
      <c r="D13" s="7"/>
    </row>
    <row r="14" customFormat="false" ht="15" hidden="false" customHeight="false" outlineLevel="0" collapsed="false">
      <c r="A14" s="4" t="s">
        <v>406</v>
      </c>
      <c r="B14" s="5" t="s">
        <v>407</v>
      </c>
      <c r="C14" s="5" t="s">
        <v>408</v>
      </c>
      <c r="D14" s="5" t="s">
        <v>409</v>
      </c>
    </row>
    <row r="15" customFormat="false" ht="15" hidden="false" customHeight="false" outlineLevel="0" collapsed="false">
      <c r="A15" s="6" t="s">
        <v>410</v>
      </c>
      <c r="B15" s="7" t="s">
        <v>389</v>
      </c>
      <c r="C15" s="7" t="s">
        <v>411</v>
      </c>
      <c r="D15" s="7" t="s">
        <v>412</v>
      </c>
    </row>
  </sheetData>
  <autoFilter ref="A3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66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413</v>
      </c>
    </row>
    <row r="3" customFormat="false" ht="15" hidden="false" customHeight="false" outlineLevel="0" collapsed="false">
      <c r="A3" s="3" t="s">
        <v>414</v>
      </c>
      <c r="B3" s="3" t="s">
        <v>415</v>
      </c>
      <c r="C3" s="3" t="s">
        <v>416</v>
      </c>
      <c r="D3" s="3" t="s">
        <v>417</v>
      </c>
      <c r="E3" s="3" t="s">
        <v>418</v>
      </c>
      <c r="F3" s="3" t="s">
        <v>419</v>
      </c>
      <c r="G3" s="3" t="s">
        <v>420</v>
      </c>
      <c r="H3" s="3" t="s">
        <v>421</v>
      </c>
    </row>
    <row r="4" customFormat="false" ht="35.05" hidden="false" customHeight="false" outlineLevel="0" collapsed="false">
      <c r="A4" s="4" t="s">
        <v>338</v>
      </c>
      <c r="B4" s="5" t="s">
        <v>422</v>
      </c>
      <c r="C4" s="5" t="s">
        <v>423</v>
      </c>
      <c r="D4" s="5" t="s">
        <v>424</v>
      </c>
      <c r="E4" s="5" t="s">
        <v>425</v>
      </c>
      <c r="F4" s="5" t="s">
        <v>426</v>
      </c>
      <c r="G4" s="5" t="s">
        <v>427</v>
      </c>
      <c r="H4" s="5" t="s">
        <v>428</v>
      </c>
    </row>
    <row r="5" customFormat="false" ht="46.25" hidden="false" customHeight="false" outlineLevel="0" collapsed="false">
      <c r="A5" s="6" t="s">
        <v>429</v>
      </c>
      <c r="B5" s="7" t="s">
        <v>430</v>
      </c>
      <c r="C5" s="7" t="s">
        <v>431</v>
      </c>
      <c r="D5" s="7" t="s">
        <v>432</v>
      </c>
      <c r="E5" s="7" t="s">
        <v>433</v>
      </c>
      <c r="F5" s="7" t="s">
        <v>434</v>
      </c>
      <c r="G5" s="7" t="s">
        <v>435</v>
      </c>
      <c r="H5" s="7" t="s">
        <v>436</v>
      </c>
    </row>
    <row r="6" customFormat="false" ht="35.05" hidden="false" customHeight="false" outlineLevel="0" collapsed="false">
      <c r="A6" s="4" t="s">
        <v>437</v>
      </c>
      <c r="B6" s="5" t="s">
        <v>438</v>
      </c>
      <c r="C6" s="5" t="s">
        <v>439</v>
      </c>
      <c r="D6" s="5" t="s">
        <v>440</v>
      </c>
      <c r="E6" s="5" t="s">
        <v>441</v>
      </c>
      <c r="F6" s="5" t="s">
        <v>442</v>
      </c>
      <c r="G6" s="5" t="s">
        <v>443</v>
      </c>
      <c r="H6" s="5" t="s">
        <v>444</v>
      </c>
    </row>
    <row r="7" customFormat="false" ht="23.85" hidden="false" customHeight="false" outlineLevel="0" collapsed="false">
      <c r="A7" s="6" t="s">
        <v>445</v>
      </c>
      <c r="B7" s="7" t="s">
        <v>446</v>
      </c>
      <c r="C7" s="7" t="s">
        <v>447</v>
      </c>
      <c r="D7" s="7" t="s">
        <v>448</v>
      </c>
      <c r="E7" s="7" t="s">
        <v>449</v>
      </c>
      <c r="F7" s="7" t="s">
        <v>450</v>
      </c>
      <c r="G7" s="7" t="s">
        <v>451</v>
      </c>
      <c r="H7" s="7" t="s">
        <v>452</v>
      </c>
    </row>
    <row r="8" customFormat="false" ht="15" hidden="false" customHeight="false" outlineLevel="0" collapsed="false">
      <c r="A8" s="4" t="s">
        <v>453</v>
      </c>
      <c r="B8" s="5" t="s">
        <v>454</v>
      </c>
      <c r="C8" s="5" t="s">
        <v>455</v>
      </c>
      <c r="D8" s="5" t="s">
        <v>456</v>
      </c>
      <c r="E8" s="5" t="s">
        <v>457</v>
      </c>
      <c r="F8" s="5" t="s">
        <v>458</v>
      </c>
      <c r="G8" s="5" t="s">
        <v>459</v>
      </c>
      <c r="H8" s="5" t="s">
        <v>460</v>
      </c>
    </row>
    <row r="9" customFormat="false" ht="15" hidden="false" customHeight="false" outlineLevel="0" collapsed="false">
      <c r="A9" s="6" t="s">
        <v>461</v>
      </c>
      <c r="B9" s="7" t="s">
        <v>462</v>
      </c>
      <c r="C9" s="7" t="s">
        <v>463</v>
      </c>
      <c r="D9" s="7" t="s">
        <v>464</v>
      </c>
      <c r="E9" s="7" t="s">
        <v>465</v>
      </c>
      <c r="F9" s="7" t="s">
        <v>466</v>
      </c>
      <c r="G9" s="7" t="s">
        <v>467</v>
      </c>
      <c r="H9" s="7" t="s">
        <v>468</v>
      </c>
    </row>
  </sheetData>
  <autoFilter ref="A3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56"/>
    <col collapsed="false" customWidth="true" hidden="false" outlineLevel="0" max="5" min="5" style="0" width="2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469</v>
      </c>
    </row>
    <row r="2" customFormat="false" ht="15" hidden="false" customHeight="false" outlineLevel="0" collapsed="false">
      <c r="A2" s="2" t="s">
        <v>470</v>
      </c>
    </row>
    <row r="3" customFormat="false" ht="15" hidden="false" customHeight="false" outlineLevel="0" collapsed="false">
      <c r="A3" s="3" t="s">
        <v>471</v>
      </c>
      <c r="B3" s="3" t="s">
        <v>401</v>
      </c>
      <c r="C3" s="3" t="s">
        <v>472</v>
      </c>
      <c r="D3" s="3" t="s">
        <v>138</v>
      </c>
      <c r="E3" s="3" t="s">
        <v>419</v>
      </c>
      <c r="F3" s="3" t="s">
        <v>473</v>
      </c>
    </row>
    <row r="4" customFormat="false" ht="15" hidden="false" customHeight="false" outlineLevel="0" collapsed="false">
      <c r="A4" s="4" t="s">
        <v>474</v>
      </c>
      <c r="B4" s="5" t="s">
        <v>475</v>
      </c>
      <c r="C4" s="5" t="s">
        <v>476</v>
      </c>
      <c r="D4" s="5" t="s">
        <v>477</v>
      </c>
      <c r="E4" s="5" t="s">
        <v>478</v>
      </c>
      <c r="F4" s="5" t="s">
        <v>479</v>
      </c>
    </row>
    <row r="5" customFormat="false" ht="15" hidden="false" customHeight="false" outlineLevel="0" collapsed="false">
      <c r="A5" s="6" t="s">
        <v>480</v>
      </c>
      <c r="B5" s="7" t="s">
        <v>475</v>
      </c>
      <c r="C5" s="7" t="s">
        <v>481</v>
      </c>
      <c r="D5" s="7" t="s">
        <v>482</v>
      </c>
      <c r="E5" s="7" t="s">
        <v>483</v>
      </c>
      <c r="F5" s="7" t="s">
        <v>479</v>
      </c>
    </row>
    <row r="6" customFormat="false" ht="15" hidden="false" customHeight="false" outlineLevel="0" collapsed="false">
      <c r="A6" s="4" t="s">
        <v>484</v>
      </c>
      <c r="B6" s="5" t="s">
        <v>475</v>
      </c>
      <c r="C6" s="5" t="s">
        <v>485</v>
      </c>
      <c r="D6" s="5" t="s">
        <v>486</v>
      </c>
      <c r="E6" s="5" t="s">
        <v>487</v>
      </c>
      <c r="F6" s="5" t="s">
        <v>479</v>
      </c>
    </row>
    <row r="7" customFormat="false" ht="15" hidden="false" customHeight="false" outlineLevel="0" collapsed="false">
      <c r="A7" s="6" t="s">
        <v>338</v>
      </c>
      <c r="B7" s="7" t="s">
        <v>475</v>
      </c>
      <c r="C7" s="7" t="s">
        <v>488</v>
      </c>
      <c r="D7" s="7" t="s">
        <v>489</v>
      </c>
      <c r="E7" s="7" t="s">
        <v>490</v>
      </c>
      <c r="F7" s="7" t="s">
        <v>479</v>
      </c>
    </row>
    <row r="8" customFormat="false" ht="15" hidden="false" customHeight="false" outlineLevel="0" collapsed="false">
      <c r="A8" s="4" t="s">
        <v>491</v>
      </c>
      <c r="B8" s="5" t="s">
        <v>475</v>
      </c>
      <c r="C8" s="5" t="s">
        <v>492</v>
      </c>
      <c r="D8" s="5" t="s">
        <v>493</v>
      </c>
      <c r="E8" s="5" t="s">
        <v>494</v>
      </c>
      <c r="F8" s="5" t="s">
        <v>21</v>
      </c>
    </row>
    <row r="9" customFormat="false" ht="15" hidden="false" customHeight="false" outlineLevel="0" collapsed="false">
      <c r="A9" s="6" t="s">
        <v>437</v>
      </c>
      <c r="B9" s="7" t="s">
        <v>475</v>
      </c>
      <c r="C9" s="7" t="s">
        <v>345</v>
      </c>
      <c r="D9" s="7" t="s">
        <v>495</v>
      </c>
      <c r="E9" s="7" t="s">
        <v>483</v>
      </c>
      <c r="F9" s="7" t="s">
        <v>21</v>
      </c>
    </row>
    <row r="10" customFormat="false" ht="15" hidden="false" customHeight="false" outlineLevel="0" collapsed="false">
      <c r="A10" s="4" t="s">
        <v>496</v>
      </c>
      <c r="B10" s="5" t="s">
        <v>475</v>
      </c>
      <c r="C10" s="5" t="s">
        <v>497</v>
      </c>
      <c r="D10" s="5" t="s">
        <v>498</v>
      </c>
      <c r="E10" s="5" t="s">
        <v>499</v>
      </c>
      <c r="F10" s="5" t="s">
        <v>21</v>
      </c>
    </row>
    <row r="11" customFormat="false" ht="15" hidden="false" customHeight="false" outlineLevel="0" collapsed="false">
      <c r="A11" s="6" t="s">
        <v>445</v>
      </c>
      <c r="B11" s="7" t="s">
        <v>475</v>
      </c>
      <c r="C11" s="7" t="s">
        <v>351</v>
      </c>
      <c r="D11" s="7" t="s">
        <v>500</v>
      </c>
      <c r="E11" s="7" t="s">
        <v>501</v>
      </c>
      <c r="F11" s="7" t="s">
        <v>21</v>
      </c>
    </row>
    <row r="12" customFormat="false" ht="15" hidden="false" customHeight="false" outlineLevel="0" collapsed="false">
      <c r="A12" s="4" t="s">
        <v>502</v>
      </c>
      <c r="B12" s="5" t="s">
        <v>475</v>
      </c>
      <c r="C12" s="5" t="s">
        <v>503</v>
      </c>
      <c r="D12" s="5" t="s">
        <v>504</v>
      </c>
      <c r="E12" s="5" t="s">
        <v>483</v>
      </c>
      <c r="F12" s="5" t="s">
        <v>21</v>
      </c>
    </row>
    <row r="13" customFormat="false" ht="15" hidden="false" customHeight="false" outlineLevel="0" collapsed="false">
      <c r="A13" s="6" t="s">
        <v>505</v>
      </c>
      <c r="B13" s="7" t="s">
        <v>475</v>
      </c>
      <c r="C13" s="7" t="s">
        <v>506</v>
      </c>
      <c r="D13" s="7" t="s">
        <v>507</v>
      </c>
      <c r="E13" s="7" t="s">
        <v>508</v>
      </c>
      <c r="F13" s="7" t="s">
        <v>21</v>
      </c>
    </row>
    <row r="14" customFormat="false" ht="15" hidden="false" customHeight="false" outlineLevel="0" collapsed="false">
      <c r="A14" s="4" t="s">
        <v>509</v>
      </c>
      <c r="B14" s="5" t="s">
        <v>475</v>
      </c>
      <c r="C14" s="5" t="s">
        <v>510</v>
      </c>
      <c r="D14" s="5" t="s">
        <v>511</v>
      </c>
      <c r="E14" s="5" t="s">
        <v>512</v>
      </c>
      <c r="F14" s="5" t="s">
        <v>21</v>
      </c>
    </row>
    <row r="15" customFormat="false" ht="15" hidden="false" customHeight="false" outlineLevel="0" collapsed="false">
      <c r="A15" s="6" t="s">
        <v>513</v>
      </c>
      <c r="B15" s="7" t="s">
        <v>475</v>
      </c>
      <c r="C15" s="7" t="s">
        <v>514</v>
      </c>
      <c r="D15" s="7" t="s">
        <v>515</v>
      </c>
      <c r="E15" s="7" t="s">
        <v>516</v>
      </c>
      <c r="F15" s="7" t="s">
        <v>21</v>
      </c>
    </row>
    <row r="16" customFormat="false" ht="15" hidden="false" customHeight="false" outlineLevel="0" collapsed="false">
      <c r="A16" s="4" t="s">
        <v>517</v>
      </c>
      <c r="B16" s="5" t="s">
        <v>475</v>
      </c>
      <c r="C16" s="5" t="s">
        <v>518</v>
      </c>
      <c r="D16" s="5" t="s">
        <v>519</v>
      </c>
      <c r="E16" s="5" t="s">
        <v>520</v>
      </c>
      <c r="F16" s="5" t="s">
        <v>479</v>
      </c>
    </row>
    <row r="17" customFormat="false" ht="15" hidden="false" customHeight="false" outlineLevel="0" collapsed="false">
      <c r="A17" s="6" t="s">
        <v>521</v>
      </c>
      <c r="B17" s="7" t="s">
        <v>475</v>
      </c>
      <c r="C17" s="7" t="s">
        <v>522</v>
      </c>
      <c r="D17" s="7" t="s">
        <v>523</v>
      </c>
      <c r="E17" s="7" t="s">
        <v>524</v>
      </c>
      <c r="F17" s="7" t="s">
        <v>479</v>
      </c>
    </row>
    <row r="18" customFormat="false" ht="15" hidden="false" customHeight="false" outlineLevel="0" collapsed="false">
      <c r="A18" s="4" t="s">
        <v>525</v>
      </c>
      <c r="B18" s="5" t="s">
        <v>475</v>
      </c>
      <c r="C18" s="5" t="s">
        <v>526</v>
      </c>
      <c r="D18" s="5" t="s">
        <v>527</v>
      </c>
      <c r="E18" s="5" t="s">
        <v>524</v>
      </c>
      <c r="F18" s="5" t="s">
        <v>479</v>
      </c>
    </row>
    <row r="19" customFormat="false" ht="15" hidden="false" customHeight="false" outlineLevel="0" collapsed="false">
      <c r="A19" s="6" t="s">
        <v>528</v>
      </c>
      <c r="B19" s="7" t="s">
        <v>475</v>
      </c>
      <c r="C19" s="7" t="s">
        <v>529</v>
      </c>
      <c r="D19" s="7" t="s">
        <v>530</v>
      </c>
      <c r="E19" s="7" t="s">
        <v>531</v>
      </c>
      <c r="F19" s="7" t="s">
        <v>479</v>
      </c>
    </row>
    <row r="20" customFormat="false" ht="15" hidden="false" customHeight="false" outlineLevel="0" collapsed="false">
      <c r="A20" s="4" t="s">
        <v>532</v>
      </c>
      <c r="B20" s="5" t="s">
        <v>533</v>
      </c>
      <c r="C20" s="5" t="s">
        <v>534</v>
      </c>
      <c r="D20" s="5" t="s">
        <v>535</v>
      </c>
      <c r="E20" s="5" t="s">
        <v>536</v>
      </c>
      <c r="F20" s="5" t="s">
        <v>537</v>
      </c>
    </row>
    <row r="21" customFormat="false" ht="15" hidden="false" customHeight="false" outlineLevel="0" collapsed="false">
      <c r="A21" s="6" t="s">
        <v>538</v>
      </c>
      <c r="B21" s="7" t="s">
        <v>539</v>
      </c>
      <c r="C21" s="7" t="s">
        <v>540</v>
      </c>
      <c r="D21" s="7" t="s">
        <v>541</v>
      </c>
      <c r="E21" s="7" t="s">
        <v>542</v>
      </c>
      <c r="F21" s="7" t="s">
        <v>479</v>
      </c>
    </row>
    <row r="22" customFormat="false" ht="15" hidden="false" customHeight="false" outlineLevel="0" collapsed="false">
      <c r="A22" s="4" t="s">
        <v>543</v>
      </c>
      <c r="B22" s="5" t="s">
        <v>539</v>
      </c>
      <c r="C22" s="5" t="s">
        <v>544</v>
      </c>
      <c r="D22" s="5" t="s">
        <v>545</v>
      </c>
      <c r="E22" s="5" t="s">
        <v>483</v>
      </c>
      <c r="F22" s="5" t="s">
        <v>479</v>
      </c>
    </row>
    <row r="23" customFormat="false" ht="15" hidden="false" customHeight="false" outlineLevel="0" collapsed="false">
      <c r="A23" s="6" t="s">
        <v>400</v>
      </c>
      <c r="B23" s="7" t="s">
        <v>539</v>
      </c>
      <c r="C23" s="7" t="s">
        <v>546</v>
      </c>
      <c r="D23" s="7" t="s">
        <v>547</v>
      </c>
      <c r="E23" s="7" t="s">
        <v>483</v>
      </c>
      <c r="F23" s="7" t="s">
        <v>479</v>
      </c>
    </row>
    <row r="24" customFormat="false" ht="15" hidden="false" customHeight="false" outlineLevel="0" collapsed="false">
      <c r="A24" s="4" t="s">
        <v>548</v>
      </c>
      <c r="B24" s="5" t="s">
        <v>539</v>
      </c>
      <c r="C24" s="5" t="s">
        <v>549</v>
      </c>
      <c r="D24" s="5" t="s">
        <v>550</v>
      </c>
      <c r="E24" s="5" t="s">
        <v>551</v>
      </c>
      <c r="F24" s="5" t="s">
        <v>479</v>
      </c>
    </row>
    <row r="25" customFormat="false" ht="15" hidden="false" customHeight="false" outlineLevel="0" collapsed="false">
      <c r="A25" s="6" t="s">
        <v>552</v>
      </c>
      <c r="B25" s="7" t="s">
        <v>539</v>
      </c>
      <c r="C25" s="7" t="s">
        <v>553</v>
      </c>
      <c r="D25" s="7" t="s">
        <v>554</v>
      </c>
      <c r="E25" s="7" t="s">
        <v>508</v>
      </c>
      <c r="F25" s="7" t="s">
        <v>21</v>
      </c>
    </row>
    <row r="26" customFormat="false" ht="23.85" hidden="false" customHeight="false" outlineLevel="0" collapsed="false">
      <c r="A26" s="4" t="s">
        <v>555</v>
      </c>
      <c r="B26" s="5" t="s">
        <v>539</v>
      </c>
      <c r="C26" s="5" t="s">
        <v>556</v>
      </c>
      <c r="D26" s="5" t="s">
        <v>557</v>
      </c>
      <c r="E26" s="5" t="s">
        <v>558</v>
      </c>
      <c r="F26" s="5" t="s">
        <v>21</v>
      </c>
    </row>
    <row r="27" customFormat="false" ht="15" hidden="false" customHeight="false" outlineLevel="0" collapsed="false">
      <c r="A27" s="6" t="s">
        <v>559</v>
      </c>
      <c r="B27" s="7" t="s">
        <v>560</v>
      </c>
      <c r="C27" s="7" t="s">
        <v>561</v>
      </c>
      <c r="D27" s="7" t="s">
        <v>562</v>
      </c>
      <c r="E27" s="7" t="s">
        <v>563</v>
      </c>
      <c r="F27" s="7" t="s">
        <v>537</v>
      </c>
    </row>
    <row r="28" customFormat="false" ht="15" hidden="false" customHeight="false" outlineLevel="0" collapsed="false">
      <c r="A28" s="4" t="s">
        <v>564</v>
      </c>
      <c r="B28" s="5" t="s">
        <v>565</v>
      </c>
      <c r="C28" s="5" t="s">
        <v>566</v>
      </c>
      <c r="D28" s="5" t="s">
        <v>567</v>
      </c>
      <c r="E28" s="5" t="s">
        <v>568</v>
      </c>
      <c r="F28" s="5" t="s">
        <v>479</v>
      </c>
    </row>
    <row r="29" customFormat="false" ht="15" hidden="false" customHeight="false" outlineLevel="0" collapsed="false">
      <c r="A29" s="6" t="s">
        <v>569</v>
      </c>
      <c r="B29" s="7" t="s">
        <v>570</v>
      </c>
      <c r="C29" s="7" t="s">
        <v>571</v>
      </c>
      <c r="D29" s="7" t="s">
        <v>572</v>
      </c>
      <c r="E29" s="7" t="s">
        <v>573</v>
      </c>
      <c r="F29" s="7" t="s">
        <v>479</v>
      </c>
    </row>
  </sheetData>
  <autoFilter ref="A3:F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58"/>
    <col collapsed="false" customWidth="true" hidden="false" outlineLevel="0" max="6" min="6" style="0" width="46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574</v>
      </c>
    </row>
    <row r="2" customFormat="false" ht="15" hidden="false" customHeight="false" outlineLevel="0" collapsed="false">
      <c r="A2" s="2" t="s">
        <v>575</v>
      </c>
    </row>
    <row r="3" customFormat="false" ht="15" hidden="false" customHeight="false" outlineLevel="0" collapsed="false">
      <c r="A3" s="3" t="s">
        <v>414</v>
      </c>
      <c r="B3" s="3" t="s">
        <v>576</v>
      </c>
      <c r="C3" s="3" t="s">
        <v>577</v>
      </c>
      <c r="D3" s="3" t="s">
        <v>4</v>
      </c>
      <c r="E3" s="3" t="s">
        <v>5</v>
      </c>
      <c r="F3" s="3" t="s">
        <v>578</v>
      </c>
      <c r="G3" s="3" t="s">
        <v>579</v>
      </c>
    </row>
    <row r="4" customFormat="false" ht="15" hidden="false" customHeight="false" outlineLevel="0" collapsed="false">
      <c r="A4" s="4" t="s">
        <v>580</v>
      </c>
      <c r="B4" s="5" t="s">
        <v>581</v>
      </c>
      <c r="C4" s="5" t="s">
        <v>582</v>
      </c>
      <c r="D4" s="5" t="s">
        <v>583</v>
      </c>
      <c r="E4" s="5" t="s">
        <v>584</v>
      </c>
      <c r="F4" s="5" t="s">
        <v>585</v>
      </c>
      <c r="G4" s="5" t="s">
        <v>586</v>
      </c>
    </row>
    <row r="5" customFormat="false" ht="15" hidden="false" customHeight="false" outlineLevel="0" collapsed="false">
      <c r="A5" s="6" t="s">
        <v>587</v>
      </c>
      <c r="B5" s="7" t="s">
        <v>588</v>
      </c>
      <c r="C5" s="7" t="s">
        <v>589</v>
      </c>
      <c r="D5" s="7" t="s">
        <v>590</v>
      </c>
      <c r="E5" s="7" t="s">
        <v>591</v>
      </c>
      <c r="F5" s="7" t="s">
        <v>592</v>
      </c>
      <c r="G5" s="7" t="s">
        <v>593</v>
      </c>
    </row>
    <row r="6" customFormat="false" ht="15" hidden="false" customHeight="false" outlineLevel="0" collapsed="false">
      <c r="A6" s="4" t="s">
        <v>594</v>
      </c>
      <c r="B6" s="5" t="s">
        <v>588</v>
      </c>
      <c r="C6" s="5" t="s">
        <v>595</v>
      </c>
      <c r="D6" s="5" t="s">
        <v>596</v>
      </c>
      <c r="E6" s="5" t="s">
        <v>597</v>
      </c>
      <c r="F6" s="5" t="s">
        <v>598</v>
      </c>
      <c r="G6" s="5" t="s">
        <v>599</v>
      </c>
    </row>
    <row r="7" customFormat="false" ht="15" hidden="false" customHeight="false" outlineLevel="0" collapsed="false">
      <c r="A7" s="6" t="s">
        <v>600</v>
      </c>
      <c r="B7" s="7" t="s">
        <v>588</v>
      </c>
      <c r="C7" s="7" t="s">
        <v>601</v>
      </c>
      <c r="D7" s="7" t="s">
        <v>602</v>
      </c>
      <c r="E7" s="7" t="s">
        <v>603</v>
      </c>
      <c r="F7" s="7" t="s">
        <v>604</v>
      </c>
      <c r="G7" s="7" t="s">
        <v>605</v>
      </c>
    </row>
    <row r="8" customFormat="false" ht="23.85" hidden="false" customHeight="false" outlineLevel="0" collapsed="false">
      <c r="A8" s="4" t="s">
        <v>606</v>
      </c>
      <c r="B8" s="5" t="s">
        <v>607</v>
      </c>
      <c r="C8" s="5" t="s">
        <v>608</v>
      </c>
      <c r="D8" s="5" t="s">
        <v>609</v>
      </c>
      <c r="E8" s="5" t="s">
        <v>610</v>
      </c>
      <c r="F8" s="5" t="s">
        <v>611</v>
      </c>
      <c r="G8" s="5" t="s">
        <v>612</v>
      </c>
    </row>
    <row r="9" customFormat="false" ht="15" hidden="false" customHeight="false" outlineLevel="0" collapsed="false">
      <c r="A9" s="6" t="s">
        <v>613</v>
      </c>
      <c r="B9" s="7" t="s">
        <v>614</v>
      </c>
      <c r="C9" s="7" t="s">
        <v>615</v>
      </c>
      <c r="D9" s="7" t="s">
        <v>63</v>
      </c>
      <c r="E9" s="7" t="s">
        <v>616</v>
      </c>
      <c r="F9" s="7" t="s">
        <v>617</v>
      </c>
      <c r="G9" s="7" t="s">
        <v>618</v>
      </c>
    </row>
    <row r="10" customFormat="false" ht="15" hidden="false" customHeight="false" outlineLevel="0" collapsed="false">
      <c r="A10" s="4" t="s">
        <v>619</v>
      </c>
      <c r="B10" s="5" t="s">
        <v>588</v>
      </c>
      <c r="C10" s="5" t="s">
        <v>620</v>
      </c>
      <c r="D10" s="5" t="s">
        <v>621</v>
      </c>
      <c r="E10" s="5" t="s">
        <v>622</v>
      </c>
      <c r="F10" s="5" t="s">
        <v>623</v>
      </c>
      <c r="G10" s="5" t="s">
        <v>624</v>
      </c>
    </row>
    <row r="11" customFormat="false" ht="23.85" hidden="false" customHeight="false" outlineLevel="0" collapsed="false">
      <c r="A11" s="6" t="s">
        <v>625</v>
      </c>
      <c r="B11" s="7" t="s">
        <v>626</v>
      </c>
      <c r="C11" s="7" t="s">
        <v>627</v>
      </c>
      <c r="D11" s="7" t="s">
        <v>628</v>
      </c>
      <c r="E11" s="7" t="s">
        <v>629</v>
      </c>
      <c r="F11" s="7" t="s">
        <v>630</v>
      </c>
      <c r="G11" s="7" t="s">
        <v>631</v>
      </c>
    </row>
    <row r="12" customFormat="false" ht="15" hidden="false" customHeight="false" outlineLevel="0" collapsed="false">
      <c r="A12" s="4" t="s">
        <v>632</v>
      </c>
      <c r="B12" s="5" t="s">
        <v>633</v>
      </c>
      <c r="C12" s="5" t="s">
        <v>634</v>
      </c>
      <c r="D12" s="5" t="s">
        <v>635</v>
      </c>
      <c r="E12" s="5" t="s">
        <v>636</v>
      </c>
      <c r="F12" s="5" t="s">
        <v>60</v>
      </c>
      <c r="G12" s="5" t="s">
        <v>637</v>
      </c>
    </row>
    <row r="13" customFormat="false" ht="15" hidden="false" customHeight="false" outlineLevel="0" collapsed="false">
      <c r="A13" s="6" t="s">
        <v>638</v>
      </c>
      <c r="B13" s="7" t="s">
        <v>639</v>
      </c>
      <c r="C13" s="7" t="s">
        <v>640</v>
      </c>
      <c r="D13" s="7" t="s">
        <v>63</v>
      </c>
      <c r="E13" s="7" t="s">
        <v>641</v>
      </c>
      <c r="F13" s="7" t="s">
        <v>642</v>
      </c>
      <c r="G13" s="7" t="s">
        <v>643</v>
      </c>
    </row>
    <row r="14" customFormat="false" ht="23.85" hidden="false" customHeight="false" outlineLevel="0" collapsed="false">
      <c r="A14" s="4" t="s">
        <v>644</v>
      </c>
      <c r="B14" s="5" t="s">
        <v>639</v>
      </c>
      <c r="C14" s="5" t="s">
        <v>645</v>
      </c>
      <c r="D14" s="5" t="s">
        <v>646</v>
      </c>
      <c r="E14" s="5" t="s">
        <v>647</v>
      </c>
      <c r="F14" s="5" t="s">
        <v>648</v>
      </c>
      <c r="G14" s="5" t="s">
        <v>649</v>
      </c>
    </row>
    <row r="15" customFormat="false" ht="15" hidden="false" customHeight="false" outlineLevel="0" collapsed="false">
      <c r="A15" s="6" t="s">
        <v>650</v>
      </c>
      <c r="B15" s="7" t="s">
        <v>651</v>
      </c>
      <c r="C15" s="7" t="s">
        <v>652</v>
      </c>
      <c r="D15" s="7" t="s">
        <v>653</v>
      </c>
      <c r="E15" s="7" t="s">
        <v>654</v>
      </c>
      <c r="F15" s="7" t="s">
        <v>655</v>
      </c>
      <c r="G15" s="7" t="s">
        <v>656</v>
      </c>
    </row>
    <row r="16" customFormat="false" ht="15" hidden="false" customHeight="false" outlineLevel="0" collapsed="false">
      <c r="A16" s="4" t="s">
        <v>657</v>
      </c>
      <c r="B16" s="5" t="s">
        <v>658</v>
      </c>
      <c r="C16" s="5" t="s">
        <v>659</v>
      </c>
      <c r="D16" s="5" t="s">
        <v>660</v>
      </c>
      <c r="E16" s="5" t="s">
        <v>661</v>
      </c>
      <c r="F16" s="5" t="s">
        <v>662</v>
      </c>
      <c r="G16" s="5" t="s">
        <v>663</v>
      </c>
    </row>
    <row r="17" customFormat="false" ht="23.85" hidden="false" customHeight="false" outlineLevel="0" collapsed="false">
      <c r="A17" s="6" t="s">
        <v>664</v>
      </c>
      <c r="B17" s="7" t="s">
        <v>665</v>
      </c>
      <c r="C17" s="7" t="s">
        <v>666</v>
      </c>
      <c r="D17" s="7" t="s">
        <v>667</v>
      </c>
      <c r="E17" s="7" t="s">
        <v>668</v>
      </c>
      <c r="F17" s="7" t="s">
        <v>669</v>
      </c>
      <c r="G17" s="7" t="s">
        <v>670</v>
      </c>
    </row>
    <row r="18" customFormat="false" ht="15" hidden="false" customHeight="false" outlineLevel="0" collapsed="false">
      <c r="A18" s="4" t="s">
        <v>671</v>
      </c>
      <c r="B18" s="5" t="s">
        <v>672</v>
      </c>
      <c r="C18" s="5" t="s">
        <v>673</v>
      </c>
      <c r="D18" s="5" t="s">
        <v>674</v>
      </c>
      <c r="E18" s="5" t="s">
        <v>675</v>
      </c>
      <c r="F18" s="5" t="s">
        <v>676</v>
      </c>
      <c r="G18" s="5" t="s">
        <v>677</v>
      </c>
    </row>
    <row r="19" customFormat="false" ht="15" hidden="false" customHeight="false" outlineLevel="0" collapsed="false">
      <c r="A19" s="6" t="s">
        <v>678</v>
      </c>
      <c r="B19" s="7" t="s">
        <v>258</v>
      </c>
      <c r="C19" s="7" t="s">
        <v>679</v>
      </c>
      <c r="D19" s="7" t="s">
        <v>680</v>
      </c>
      <c r="E19" s="7" t="s">
        <v>681</v>
      </c>
      <c r="F19" s="7" t="s">
        <v>682</v>
      </c>
      <c r="G19" s="7" t="s">
        <v>683</v>
      </c>
    </row>
  </sheetData>
  <autoFilter ref="A3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684</v>
      </c>
    </row>
    <row r="2" customFormat="false" ht="15" hidden="false" customHeight="false" outlineLevel="0" collapsed="false">
      <c r="A2" s="2" t="s">
        <v>685</v>
      </c>
    </row>
    <row r="3" customFormat="false" ht="15" hidden="false" customHeight="false" outlineLevel="0" collapsed="false">
      <c r="A3" s="3" t="s">
        <v>686</v>
      </c>
      <c r="B3" s="3" t="s">
        <v>687</v>
      </c>
      <c r="C3" s="3" t="s">
        <v>688</v>
      </c>
      <c r="D3" s="3" t="s">
        <v>139</v>
      </c>
    </row>
    <row r="4" customFormat="false" ht="15" hidden="false" customHeight="false" outlineLevel="0" collapsed="false">
      <c r="A4" s="4" t="s">
        <v>689</v>
      </c>
      <c r="B4" s="5" t="s">
        <v>144</v>
      </c>
      <c r="C4" s="5" t="s">
        <v>690</v>
      </c>
      <c r="D4" s="5"/>
    </row>
    <row r="5" customFormat="false" ht="15" hidden="false" customHeight="false" outlineLevel="0" collapsed="false">
      <c r="A5" s="6" t="s">
        <v>691</v>
      </c>
      <c r="B5" s="7" t="s">
        <v>157</v>
      </c>
      <c r="C5" s="7" t="s">
        <v>690</v>
      </c>
      <c r="D5" s="7"/>
    </row>
    <row r="6" customFormat="false" ht="15" hidden="false" customHeight="false" outlineLevel="0" collapsed="false">
      <c r="A6" s="4" t="s">
        <v>297</v>
      </c>
      <c r="B6" s="5" t="s">
        <v>163</v>
      </c>
      <c r="C6" s="5" t="s">
        <v>690</v>
      </c>
      <c r="D6" s="5"/>
    </row>
    <row r="7" customFormat="false" ht="15" hidden="false" customHeight="false" outlineLevel="0" collapsed="false">
      <c r="A7" s="6" t="s">
        <v>692</v>
      </c>
      <c r="B7" s="7" t="s">
        <v>166</v>
      </c>
      <c r="C7" s="7" t="s">
        <v>690</v>
      </c>
      <c r="D7" s="7"/>
    </row>
    <row r="8" customFormat="false" ht="15" hidden="false" customHeight="false" outlineLevel="0" collapsed="false">
      <c r="A8" s="4" t="s">
        <v>36</v>
      </c>
      <c r="B8" s="5" t="s">
        <v>693</v>
      </c>
      <c r="C8" s="5" t="s">
        <v>690</v>
      </c>
      <c r="D8" s="5"/>
    </row>
    <row r="9" customFormat="false" ht="15" hidden="false" customHeight="false" outlineLevel="0" collapsed="false">
      <c r="A9" s="6" t="s">
        <v>41</v>
      </c>
      <c r="B9" s="7" t="s">
        <v>177</v>
      </c>
      <c r="C9" s="7" t="s">
        <v>690</v>
      </c>
      <c r="D9" s="7"/>
    </row>
    <row r="10" customFormat="false" ht="15" hidden="false" customHeight="false" outlineLevel="0" collapsed="false">
      <c r="A10" s="4" t="s">
        <v>694</v>
      </c>
      <c r="B10" s="5" t="s">
        <v>695</v>
      </c>
      <c r="C10" s="5" t="s">
        <v>690</v>
      </c>
      <c r="D10" s="5"/>
    </row>
    <row r="11" customFormat="false" ht="15" hidden="false" customHeight="false" outlineLevel="0" collapsed="false">
      <c r="A11" s="6" t="s">
        <v>696</v>
      </c>
      <c r="B11" s="7" t="s">
        <v>186</v>
      </c>
      <c r="C11" s="7" t="s">
        <v>690</v>
      </c>
      <c r="D11" s="7"/>
    </row>
    <row r="12" customFormat="false" ht="15" hidden="false" customHeight="false" outlineLevel="0" collapsed="false">
      <c r="A12" s="4" t="s">
        <v>697</v>
      </c>
      <c r="B12" s="5" t="s">
        <v>88</v>
      </c>
      <c r="C12" s="5" t="s">
        <v>690</v>
      </c>
      <c r="D12" s="5"/>
    </row>
    <row r="13" customFormat="false" ht="15" hidden="false" customHeight="false" outlineLevel="0" collapsed="false">
      <c r="A13" s="6" t="s">
        <v>698</v>
      </c>
      <c r="B13" s="7" t="s">
        <v>699</v>
      </c>
      <c r="C13" s="7" t="s">
        <v>690</v>
      </c>
      <c r="D13" s="7"/>
    </row>
    <row r="14" customFormat="false" ht="15" hidden="false" customHeight="false" outlineLevel="0" collapsed="false">
      <c r="A14" s="4" t="s">
        <v>700</v>
      </c>
      <c r="B14" s="5" t="s">
        <v>701</v>
      </c>
      <c r="C14" s="5" t="s">
        <v>690</v>
      </c>
      <c r="D14" s="5"/>
    </row>
    <row r="15" customFormat="false" ht="15" hidden="false" customHeight="false" outlineLevel="0" collapsed="false">
      <c r="A15" s="6" t="s">
        <v>702</v>
      </c>
      <c r="B15" s="7" t="s">
        <v>220</v>
      </c>
      <c r="C15" s="7" t="s">
        <v>690</v>
      </c>
      <c r="D15" s="7"/>
    </row>
    <row r="16" customFormat="false" ht="15" hidden="false" customHeight="false" outlineLevel="0" collapsed="false">
      <c r="A16" s="4" t="s">
        <v>703</v>
      </c>
      <c r="B16" s="5" t="s">
        <v>214</v>
      </c>
      <c r="C16" s="5" t="s">
        <v>690</v>
      </c>
      <c r="D16" s="5"/>
    </row>
    <row r="17" customFormat="false" ht="15" hidden="false" customHeight="false" outlineLevel="0" collapsed="false">
      <c r="A17" s="6" t="s">
        <v>704</v>
      </c>
      <c r="B17" s="7" t="s">
        <v>705</v>
      </c>
      <c r="C17" s="7" t="s">
        <v>690</v>
      </c>
      <c r="D17" s="7"/>
    </row>
    <row r="18" customFormat="false" ht="15" hidden="false" customHeight="false" outlineLevel="0" collapsed="false">
      <c r="A18" s="4" t="s">
        <v>706</v>
      </c>
      <c r="B18" s="5" t="s">
        <v>707</v>
      </c>
      <c r="C18" s="5" t="s">
        <v>690</v>
      </c>
      <c r="D18" s="5"/>
    </row>
    <row r="19" customFormat="false" ht="15" hidden="false" customHeight="false" outlineLevel="0" collapsed="false">
      <c r="A19" s="6" t="s">
        <v>708</v>
      </c>
      <c r="B19" s="7" t="s">
        <v>709</v>
      </c>
      <c r="C19" s="7" t="s">
        <v>690</v>
      </c>
      <c r="D19" s="7"/>
    </row>
    <row r="20" customFormat="false" ht="15" hidden="false" customHeight="false" outlineLevel="0" collapsed="false">
      <c r="A20" s="4" t="s">
        <v>710</v>
      </c>
      <c r="B20" s="5" t="s">
        <v>711</v>
      </c>
      <c r="C20" s="5" t="s">
        <v>690</v>
      </c>
      <c r="D20" s="5"/>
    </row>
    <row r="21" customFormat="false" ht="23.85" hidden="false" customHeight="false" outlineLevel="0" collapsed="false">
      <c r="A21" s="6" t="s">
        <v>712</v>
      </c>
      <c r="B21" s="7" t="s">
        <v>713</v>
      </c>
      <c r="C21" s="7" t="s">
        <v>690</v>
      </c>
      <c r="D21" s="7"/>
    </row>
    <row r="23" customFormat="false" ht="15" hidden="false" customHeight="false" outlineLevel="0" collapsed="false">
      <c r="A23" s="8" t="s">
        <v>714</v>
      </c>
      <c r="B23" s="9" t="n">
        <f aca="false">COUNTIF(C4:C21,"Done")</f>
        <v>0</v>
      </c>
    </row>
    <row r="24" customFormat="false" ht="15" hidden="false" customHeight="false" outlineLevel="0" collapsed="false">
      <c r="A24" s="8" t="s">
        <v>690</v>
      </c>
      <c r="B24" s="9" t="n">
        <f aca="false">COUNTIF(C4:C21,"Todo")</f>
        <v>18</v>
      </c>
    </row>
    <row r="25" customFormat="false" ht="15" hidden="false" customHeight="false" outlineLevel="0" collapsed="false">
      <c r="A25" s="8" t="s">
        <v>715</v>
      </c>
      <c r="B25" s="9" t="n">
        <f aca="false">COUNTIF(C4:C21,"N/A")</f>
        <v>0</v>
      </c>
    </row>
    <row r="26" customFormat="false" ht="15" hidden="false" customHeight="false" outlineLevel="0" collapsed="false">
      <c r="A26" s="8" t="s">
        <v>716</v>
      </c>
      <c r="B26" s="10" t="n">
        <f aca="false">IFERROR(B23/(COUNTA(A4:A21)-B25),0)</f>
        <v>0</v>
      </c>
    </row>
  </sheetData>
  <autoFilter ref="A3:D21"/>
  <dataValidations count="1">
    <dataValidation allowBlank="false" errorStyle="stop" operator="between" showDropDown="false" showErrorMessage="false" showInputMessage="false" sqref="C4:C21" type="list">
      <formula1>"Todo,Done,N/A"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2026-10-18T08:57:23Z</dcterms:created>
  <dc:creator>openpyxl</dc:creator>
  <dc:description/>
  <dc:language>en-US</dc:language>
  <cp:lastModifiedBy/>
  <dcterms:modified xsi:type="dcterms:W3CDTF">2026-10-18T08:57:23Z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