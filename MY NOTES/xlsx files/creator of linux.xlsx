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All Components Registry" sheetId="2" state="visible" r:id="rId2"/>
  </sheets>
  <definedNames>
    <definedName name="_xlnm._FilterDatabase" localSheetId="1" hidden="1">'All Components Registry'!$A$1:$E$18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1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left"/>
    </xf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5" fillId="0" borderId="2" pivotButton="0" quotePrefix="0" xfId="0"/>
    <xf numFmtId="0" fontId="5" fillId="0" borderId="2" applyAlignment="1" pivotButton="0" quotePrefix="0" xfId="0">
      <alignment horizontal="center"/>
    </xf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left" vertical="center"/>
    </xf>
    <xf numFmtId="1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Density by Architectural Layer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 Dashboard'!B6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 Dashboard'!$A$7:$A$11</f>
            </numRef>
          </cat>
          <val>
            <numRef>
              <f>'Summary Dashboard'!$B$7:$B$11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Layer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 ht="28" customHeight="1">
      <c r="A1" s="1" t="inlineStr">
        <is>
          <t>Unified Linux Architecture Registry</t>
        </is>
      </c>
    </row>
    <row r="2">
      <c r="A2" s="2" t="inlineStr">
        <is>
          <t>A single integrated reference for core subsystems, authors, and launch timelines.</t>
        </is>
      </c>
    </row>
    <row r="4">
      <c r="A4" s="3" t="inlineStr">
        <is>
          <t>Total Subsystems Verified:</t>
        </is>
      </c>
      <c r="B4" s="4">
        <f>COUNTA('All Components Registry'!B2:B18)</f>
        <v/>
      </c>
    </row>
    <row r="6" ht="22" customHeight="1">
      <c r="A6" s="5" t="inlineStr">
        <is>
          <t>Subsystem Category</t>
        </is>
      </c>
      <c r="B6" s="6" t="inlineStr">
        <is>
          <t>Component Count</t>
        </is>
      </c>
    </row>
    <row r="7" ht="19" customHeight="1">
      <c r="A7" s="7" t="inlineStr">
        <is>
          <t>Core Kernel &amp; Base OS</t>
        </is>
      </c>
      <c r="B7" s="8">
        <f>COUNTIF('All Components Registry'!A2:A18, "Core Kernel &amp; Base OS")</f>
        <v/>
      </c>
    </row>
    <row r="8" ht="19" customHeight="1">
      <c r="A8" s="7" t="inlineStr">
        <is>
          <t>Command Line &amp; Shell</t>
        </is>
      </c>
      <c r="B8" s="8">
        <f>COUNTIF('All Components Registry'!A2:A18, "Command Line &amp; Shell")</f>
        <v/>
      </c>
    </row>
    <row r="9" ht="19" customHeight="1">
      <c r="A9" s="7" t="inlineStr">
        <is>
          <t>Init &amp; Service Management</t>
        </is>
      </c>
      <c r="B9" s="8">
        <f>COUNTIF('All Components Registry'!A2:A18, "Init &amp; Service Management")</f>
        <v/>
      </c>
    </row>
    <row r="10" ht="19" customHeight="1">
      <c r="A10" s="7" t="inlineStr">
        <is>
          <t>Graphical UI (GUI)</t>
        </is>
      </c>
      <c r="B10" s="8">
        <f>COUNTIF('All Components Registry'!A2:A18, "Graphical UI (GUI)")</f>
        <v/>
      </c>
    </row>
    <row r="11" ht="19" customHeight="1">
      <c r="A11" s="7" t="inlineStr">
        <is>
          <t>Package Management</t>
        </is>
      </c>
      <c r="B11" s="8">
        <f>COUNTIF('All Components Registry'!A2:A18, "Package Management")</f>
        <v/>
      </c>
    </row>
    <row r="12">
      <c r="A12" s="9" t="inlineStr">
        <is>
          <t>Total Stack Components</t>
        </is>
      </c>
      <c r="B12" s="10">
        <f>SUM(B7:B11)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75" customWidth="1" min="3" max="3"/>
    <col width="62" customWidth="1" min="4" max="4"/>
    <col width="18" customWidth="1" min="5" max="5"/>
  </cols>
  <sheetData>
    <row r="1" ht="26" customHeight="1">
      <c r="A1" s="11" t="inlineStr">
        <is>
          <t>Category</t>
        </is>
      </c>
      <c r="B1" s="11" t="inlineStr">
        <is>
          <t>Component</t>
        </is>
      </c>
      <c r="C1" s="11" t="inlineStr">
        <is>
          <t>Function / Description</t>
        </is>
      </c>
      <c r="D1" s="11" t="inlineStr">
        <is>
          <t>Original Author / Designer</t>
        </is>
      </c>
      <c r="E1" s="12" t="inlineStr">
        <is>
          <t>Year Introduced</t>
        </is>
      </c>
    </row>
    <row r="2" ht="20" customHeight="1">
      <c r="A2" s="13" t="inlineStr">
        <is>
          <t>Core Kernel &amp; Base OS</t>
        </is>
      </c>
      <c r="B2" s="13" t="inlineStr">
        <is>
          <t>Linux Kernel</t>
        </is>
      </c>
      <c r="C2" s="13" t="inlineStr">
        <is>
          <t>Core operating system kernel managing hardware and resources</t>
        </is>
      </c>
      <c r="D2" s="13" t="inlineStr">
        <is>
          <t>Linus Torvalds</t>
        </is>
      </c>
      <c r="E2" s="14" t="n">
        <v>1991</v>
      </c>
    </row>
    <row r="3" ht="20" customHeight="1">
      <c r="A3" s="15" t="inlineStr">
        <is>
          <t>Core Kernel &amp; Base OS</t>
        </is>
      </c>
      <c r="B3" s="15" t="inlineStr">
        <is>
          <t>GNU Project</t>
        </is>
      </c>
      <c r="C3" s="15" t="inlineStr">
        <is>
          <t>Provided essential OS utilities and tools to make the kernel usable</t>
        </is>
      </c>
      <c r="D3" s="15" t="inlineStr">
        <is>
          <t>Richard Stallman</t>
        </is>
      </c>
      <c r="E3" s="16" t="n">
        <v>1983</v>
      </c>
    </row>
    <row r="4" ht="20" customHeight="1">
      <c r="A4" s="13" t="inlineStr">
        <is>
          <t>Core Kernel &amp; Base OS</t>
        </is>
      </c>
      <c r="B4" s="13" t="inlineStr">
        <is>
          <t>glibc (GNU C Library)</t>
        </is>
      </c>
      <c r="C4" s="13" t="inlineStr">
        <is>
          <t>The core C library defining system calls and standard functionalities</t>
        </is>
      </c>
      <c r="D4" s="13" t="inlineStr">
        <is>
          <t>Roland McGrath</t>
        </is>
      </c>
      <c r="E4" s="14" t="n">
        <v>1987</v>
      </c>
    </row>
    <row r="5" ht="20" customHeight="1">
      <c r="A5" s="15" t="inlineStr">
        <is>
          <t>Core Kernel &amp; Base OS</t>
        </is>
      </c>
      <c r="B5" s="15" t="inlineStr">
        <is>
          <t>GRUB</t>
        </is>
      </c>
      <c r="C5" s="15" t="inlineStr">
        <is>
          <t>Grand Unified Bootloader used to initialize and load the OS kernel</t>
        </is>
      </c>
      <c r="D5" s="15" t="inlineStr">
        <is>
          <t>Erich Boleyn</t>
        </is>
      </c>
      <c r="E5" s="16" t="n">
        <v>1995</v>
      </c>
    </row>
    <row r="6" ht="20" customHeight="1">
      <c r="A6" s="13" t="inlineStr">
        <is>
          <t>Command Line &amp; Shell</t>
        </is>
      </c>
      <c r="B6" s="13" t="inlineStr">
        <is>
          <t>Bash (Bourne Again Shell)</t>
        </is>
      </c>
      <c r="C6" s="13" t="inlineStr">
        <is>
          <t>The standard interactive command-line shell interface</t>
        </is>
      </c>
      <c r="D6" s="13" t="inlineStr">
        <is>
          <t>Brian Fox (later Chet Ramey)</t>
        </is>
      </c>
      <c r="E6" s="14" t="n">
        <v>1989</v>
      </c>
    </row>
    <row r="7" ht="20" customHeight="1">
      <c r="A7" s="15" t="inlineStr">
        <is>
          <t>Command Line &amp; Shell</t>
        </is>
      </c>
      <c r="B7" s="15" t="inlineStr">
        <is>
          <t>Coreutils</t>
        </is>
      </c>
      <c r="C7" s="15" t="inlineStr">
        <is>
          <t>Basic file, shell, and text manipulation tools (ls, cd, cp, etc.)</t>
        </is>
      </c>
      <c r="D7" s="15" t="inlineStr">
        <is>
          <t>Richard Stallman, David MacKenzie, et al.</t>
        </is>
      </c>
      <c r="E7" s="16" t="n">
        <v>1985</v>
      </c>
    </row>
    <row r="8" ht="20" customHeight="1">
      <c r="A8" s="13" t="inlineStr">
        <is>
          <t>Command Line &amp; Shell</t>
        </is>
      </c>
      <c r="B8" s="13" t="inlineStr">
        <is>
          <t>Sudo</t>
        </is>
      </c>
      <c r="C8" s="13" t="inlineStr">
        <is>
          <t>Superuser Do; authority delegation tool for privileged command execution</t>
        </is>
      </c>
      <c r="D8" s="13" t="inlineStr">
        <is>
          <t>Bob Coggeshall &amp; Cliff Spencer (Maintainer: Todd C. Miller)</t>
        </is>
      </c>
      <c r="E8" s="14" t="n">
        <v>1980</v>
      </c>
    </row>
    <row r="9" ht="20" customHeight="1">
      <c r="A9" s="15" t="inlineStr">
        <is>
          <t>Command Line &amp; Shell</t>
        </is>
      </c>
      <c r="B9" s="15" t="inlineStr">
        <is>
          <t>OpenSSH</t>
        </is>
      </c>
      <c r="C9" s="15" t="inlineStr">
        <is>
          <t>Secure Shell protocol for protected remote terminal management</t>
        </is>
      </c>
      <c r="D9" s="15" t="inlineStr">
        <is>
          <t>Tatu Ylönen (Original) / OpenBSD Team</t>
        </is>
      </c>
      <c r="E9" s="16" t="n">
        <v>1999</v>
      </c>
    </row>
    <row r="10" ht="20" customHeight="1">
      <c r="A10" s="13" t="inlineStr">
        <is>
          <t>Init &amp; Service Management</t>
        </is>
      </c>
      <c r="B10" s="13" t="inlineStr">
        <is>
          <t>SysVinit</t>
        </is>
      </c>
      <c r="C10" s="13" t="inlineStr">
        <is>
          <t>Classic System V initialization and background service manager</t>
        </is>
      </c>
      <c r="D10" s="13" t="inlineStr">
        <is>
          <t>Miquel van Smoorenburg</t>
        </is>
      </c>
      <c r="E10" s="14" t="n">
        <v>1992</v>
      </c>
    </row>
    <row r="11" ht="20" customHeight="1">
      <c r="A11" s="15" t="inlineStr">
        <is>
          <t>Init &amp; Service Management</t>
        </is>
      </c>
      <c r="B11" s="15" t="inlineStr">
        <is>
          <t>systemd</t>
        </is>
      </c>
      <c r="C11" s="15" t="inlineStr">
        <is>
          <t>Modern, parallelized system initialization and service manager suite</t>
        </is>
      </c>
      <c r="D11" s="15" t="inlineStr">
        <is>
          <t>Lennart Poettering &amp; Kay Sievers</t>
        </is>
      </c>
      <c r="E11" s="16" t="n">
        <v>2010</v>
      </c>
    </row>
    <row r="12" ht="20" customHeight="1">
      <c r="A12" s="13" t="inlineStr">
        <is>
          <t>Graphical UI (GUI)</t>
        </is>
      </c>
      <c r="B12" s="13" t="inlineStr">
        <is>
          <t>X Window System (X11)</t>
        </is>
      </c>
      <c r="C12" s="13" t="inlineStr">
        <is>
          <t>Legacy core framework for network-transparent graphical displays</t>
        </is>
      </c>
      <c r="D12" s="13" t="inlineStr">
        <is>
          <t>Robert Scheifler &amp; Jim Gettys</t>
        </is>
      </c>
      <c r="E12" s="14" t="n">
        <v>1984</v>
      </c>
    </row>
    <row r="13" ht="20" customHeight="1">
      <c r="A13" s="15" t="inlineStr">
        <is>
          <t>Graphical UI (GUI)</t>
        </is>
      </c>
      <c r="B13" s="15" t="inlineStr">
        <is>
          <t>Wayland</t>
        </is>
      </c>
      <c r="C13" s="15" t="inlineStr">
        <is>
          <t>Modern, secure, and lightweight display server protocol replacing X11</t>
        </is>
      </c>
      <c r="D13" s="15" t="inlineStr">
        <is>
          <t>Kristian Høgsberg</t>
        </is>
      </c>
      <c r="E13" s="16" t="n">
        <v>2008</v>
      </c>
    </row>
    <row r="14" ht="20" customHeight="1">
      <c r="A14" s="13" t="inlineStr">
        <is>
          <t>Graphical UI (GUI)</t>
        </is>
      </c>
      <c r="B14" s="13" t="inlineStr">
        <is>
          <t>GNOME Desktop</t>
        </is>
      </c>
      <c r="C14" s="13" t="inlineStr">
        <is>
          <t>Intuitive desktop environment used globally (Ubuntu, Fedora default)</t>
        </is>
      </c>
      <c r="D14" s="13" t="inlineStr">
        <is>
          <t>Miguel de Icaza &amp; Federico Mena</t>
        </is>
      </c>
      <c r="E14" s="14" t="n">
        <v>1997</v>
      </c>
    </row>
    <row r="15" ht="20" customHeight="1">
      <c r="A15" s="15" t="inlineStr">
        <is>
          <t>Graphical UI (GUI)</t>
        </is>
      </c>
      <c r="B15" s="15" t="inlineStr">
        <is>
          <t>KDE Plasma Desktop</t>
        </is>
      </c>
      <c r="C15" s="15" t="inlineStr">
        <is>
          <t>Highly modular, visually advanced, and customizable desktop interface</t>
        </is>
      </c>
      <c r="D15" s="15" t="inlineStr">
        <is>
          <t>Matthias Ettrich</t>
        </is>
      </c>
      <c r="E15" s="16" t="n">
        <v>1996</v>
      </c>
    </row>
    <row r="16" ht="20" customHeight="1">
      <c r="A16" s="13" t="inlineStr">
        <is>
          <t>Package Management</t>
        </is>
      </c>
      <c r="B16" s="13" t="inlineStr">
        <is>
          <t>dpkg</t>
        </is>
      </c>
      <c r="C16" s="13" t="inlineStr">
        <is>
          <t>Low-level Debian package management deployment foundation</t>
        </is>
      </c>
      <c r="D16" s="13" t="inlineStr">
        <is>
          <t>Ian Jackson</t>
        </is>
      </c>
      <c r="E16" s="14" t="n">
        <v>1993</v>
      </c>
    </row>
    <row r="17" ht="20" customHeight="1">
      <c r="A17" s="15" t="inlineStr">
        <is>
          <t>Package Management</t>
        </is>
      </c>
      <c r="B17" s="15" t="inlineStr">
        <is>
          <t>APT</t>
        </is>
      </c>
      <c r="C17" s="15" t="inlineStr">
        <is>
          <t>Advanced Package Tool; rich front-end interface CLI for deb packages</t>
        </is>
      </c>
      <c r="D17" s="15" t="inlineStr">
        <is>
          <t>Brendan O'Dea, Jason Gunthorpe, et al.</t>
        </is>
      </c>
      <c r="E17" s="16" t="n">
        <v>1998</v>
      </c>
    </row>
    <row r="18" ht="20" customHeight="1">
      <c r="A18" s="13" t="inlineStr">
        <is>
          <t>Package Management</t>
        </is>
      </c>
      <c r="B18" s="13" t="inlineStr">
        <is>
          <t>RPM</t>
        </is>
      </c>
      <c r="C18" s="13" t="inlineStr">
        <is>
          <t>Red Hat Package Manager; package deployment standard for RHEL/Fedora</t>
        </is>
      </c>
      <c r="D18" s="13" t="inlineStr">
        <is>
          <t>Erik Troan &amp; Marc Ewing</t>
        </is>
      </c>
      <c r="E18" s="14" t="n">
        <v>1997</v>
      </c>
    </row>
  </sheetData>
  <autoFilter ref="A1:E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2026-06-02T08:28:39Z</dcterms:created>
  <dcterms:modified xmlns:dcterms="http://purl.org/dc/terms/" xmlns:xsi="http://www.w3.org/2001/XMLSchema-instance" xsi:type="dcterms:W3CDTF">2026-06-02T08:28:39Z</dcterms:modified>
</cp:coreProperties>
</file>